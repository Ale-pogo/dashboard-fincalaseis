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tables/table3.xml" ContentType="application/vnd.openxmlformats-officedocument.spreadsheetml.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ncalaseis-my.sharepoint.com/personal/compras_fincalaseis_com_ar/Documents/"/>
    </mc:Choice>
  </mc:AlternateContent>
  <xr:revisionPtr revIDLastSave="2200" documentId="8_{2CB4EE34-6C5C-4BFC-A733-82F62E15FD2D}" xr6:coauthVersionLast="47" xr6:coauthVersionMax="47" xr10:uidLastSave="{0F1390D7-D597-4D10-8543-3F26C9F56054}"/>
  <bookViews>
    <workbookView xWindow="-120" yWindow="-120" windowWidth="29040" windowHeight="15840" xr2:uid="{8EF26D9B-9BDD-40EA-9926-EAD75B18C35F}"/>
  </bookViews>
  <sheets>
    <sheet name="Datos" sheetId="1" r:id="rId1"/>
    <sheet name="Productos $" sheetId="7" r:id="rId2"/>
    <sheet name="X Mes" sheetId="11" r:id="rId3"/>
    <sheet name="X Meses $" sheetId="3" r:id="rId4"/>
    <sheet name="Cantidades" sheetId="4" r:id="rId5"/>
    <sheet name="$ x Producto" sheetId="5" r:id="rId6"/>
    <sheet name="Cumplido - Pendiente" sheetId="10" state="hidden" r:id="rId7"/>
    <sheet name="X Meses $ (2)" sheetId="12" state="hidden" r:id="rId8"/>
    <sheet name="Lisal" sheetId="13" r:id="rId9"/>
    <sheet name="Borrador" sheetId="6" state="hidden" r:id="rId10"/>
    <sheet name="Pendientes" sheetId="9" state="hidden" r:id="rId11"/>
    <sheet name="Hoja1" sheetId="8" state="hidden" r:id="rId12"/>
  </sheets>
  <definedNames>
    <definedName name="SegmentaciónDeDatos_Estado">#N/A</definedName>
    <definedName name="SegmentaciónDeDatos_Estado1">#N/A</definedName>
  </definedNames>
  <calcPr calcId="191029"/>
  <pivotCaches>
    <pivotCache cacheId="3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2" i="1" l="1"/>
  <c r="K112" i="1" s="1"/>
  <c r="L112" i="1" s="1"/>
  <c r="J112" i="1"/>
  <c r="N112" i="1"/>
  <c r="I28" i="1"/>
  <c r="K28" i="1" s="1"/>
  <c r="L28" i="1" s="1"/>
  <c r="J28" i="1"/>
  <c r="N28" i="1"/>
  <c r="I114" i="1"/>
  <c r="J114" i="1"/>
  <c r="N114" i="1"/>
  <c r="I113" i="1"/>
  <c r="K113" i="1" s="1"/>
  <c r="L113" i="1" s="1"/>
  <c r="J113" i="1"/>
  <c r="N113" i="1"/>
  <c r="I77" i="1"/>
  <c r="J77" i="1"/>
  <c r="N77" i="1"/>
  <c r="H21" i="7"/>
  <c r="I41" i="1"/>
  <c r="J41" i="1"/>
  <c r="N41" i="1"/>
  <c r="I40" i="1"/>
  <c r="J40" i="1"/>
  <c r="N40" i="1"/>
  <c r="I27" i="1"/>
  <c r="J27" i="1"/>
  <c r="N27" i="1"/>
  <c r="I88" i="1"/>
  <c r="J88" i="1"/>
  <c r="N88" i="1"/>
  <c r="I76" i="1"/>
  <c r="J76" i="1"/>
  <c r="N76" i="1"/>
  <c r="I110" i="1"/>
  <c r="J110" i="1"/>
  <c r="N110" i="1"/>
  <c r="I26" i="1"/>
  <c r="J26" i="1"/>
  <c r="N26" i="1"/>
  <c r="I85" i="1"/>
  <c r="J85" i="1"/>
  <c r="N85" i="1"/>
  <c r="I15" i="1"/>
  <c r="J15" i="1"/>
  <c r="N15" i="1"/>
  <c r="I100" i="1"/>
  <c r="J100" i="1"/>
  <c r="N100" i="1"/>
  <c r="I99" i="1"/>
  <c r="J99" i="1"/>
  <c r="N99" i="1"/>
  <c r="I92" i="1"/>
  <c r="J92" i="1"/>
  <c r="N92" i="1"/>
  <c r="I98" i="1"/>
  <c r="J98" i="1"/>
  <c r="N98" i="1"/>
  <c r="I97" i="1"/>
  <c r="J97" i="1"/>
  <c r="N97" i="1"/>
  <c r="I16" i="1"/>
  <c r="J16" i="1"/>
  <c r="N16" i="1"/>
  <c r="I25" i="1"/>
  <c r="J25" i="1"/>
  <c r="N25" i="1"/>
  <c r="K114" i="1" l="1"/>
  <c r="L114" i="1" s="1"/>
  <c r="K77" i="1"/>
  <c r="L77" i="1" s="1"/>
  <c r="K41" i="1"/>
  <c r="L41" i="1" s="1"/>
  <c r="K40" i="1"/>
  <c r="L40" i="1" s="1"/>
  <c r="K88" i="1"/>
  <c r="L88" i="1" s="1"/>
  <c r="K27" i="1"/>
  <c r="L27" i="1" s="1"/>
  <c r="K76" i="1"/>
  <c r="L76" i="1" s="1"/>
  <c r="K100" i="1"/>
  <c r="L100" i="1" s="1"/>
  <c r="K85" i="1"/>
  <c r="L85" i="1" s="1"/>
  <c r="K110" i="1"/>
  <c r="L110" i="1" s="1"/>
  <c r="K26" i="1"/>
  <c r="L26" i="1" s="1"/>
  <c r="K15" i="1"/>
  <c r="L15" i="1" s="1"/>
  <c r="K25" i="1"/>
  <c r="L25" i="1" s="1"/>
  <c r="K99" i="1"/>
  <c r="L99" i="1" s="1"/>
  <c r="K92" i="1"/>
  <c r="L92" i="1" s="1"/>
  <c r="K97" i="1"/>
  <c r="L97" i="1" s="1"/>
  <c r="K98" i="1"/>
  <c r="L98" i="1" s="1"/>
  <c r="K16" i="1"/>
  <c r="L16" i="1" s="1"/>
  <c r="N103" i="1"/>
  <c r="J103" i="1"/>
  <c r="I103" i="1"/>
  <c r="K103" i="1" l="1"/>
  <c r="L103" i="1" s="1"/>
  <c r="N102" i="1"/>
  <c r="J102" i="1"/>
  <c r="I102" i="1"/>
  <c r="K102" i="1" l="1"/>
  <c r="L102" i="1" s="1"/>
  <c r="H26" i="7"/>
  <c r="H25" i="7"/>
  <c r="N105" i="1"/>
  <c r="J105" i="1"/>
  <c r="I105" i="1"/>
  <c r="N104" i="1"/>
  <c r="J104" i="1"/>
  <c r="I104" i="1"/>
  <c r="N34" i="1"/>
  <c r="J34" i="1"/>
  <c r="I34" i="1"/>
  <c r="N75" i="1"/>
  <c r="J75" i="1"/>
  <c r="I75" i="1"/>
  <c r="G6" i="13"/>
  <c r="H6" i="13" s="1"/>
  <c r="G15" i="13"/>
  <c r="H15" i="13" s="1"/>
  <c r="G14" i="13"/>
  <c r="H14" i="13" s="1"/>
  <c r="G13" i="13"/>
  <c r="H13" i="13" s="1"/>
  <c r="G12" i="13"/>
  <c r="H12" i="13" s="1"/>
  <c r="G11" i="13"/>
  <c r="H11" i="13" s="1"/>
  <c r="G10" i="13"/>
  <c r="H10" i="13" s="1"/>
  <c r="G9" i="13"/>
  <c r="H9" i="13" s="1"/>
  <c r="G8" i="13"/>
  <c r="H8" i="13" s="1"/>
  <c r="G7" i="13"/>
  <c r="H7" i="13" s="1"/>
  <c r="G5" i="13"/>
  <c r="H5" i="13" s="1"/>
  <c r="G4" i="13"/>
  <c r="H4" i="13" s="1"/>
  <c r="G3" i="13"/>
  <c r="H3" i="13" s="1"/>
  <c r="K75" i="1" l="1"/>
  <c r="L75" i="1" s="1"/>
  <c r="K34" i="1"/>
  <c r="L34" i="1" s="1"/>
  <c r="K105" i="1"/>
  <c r="L105" i="1" s="1"/>
  <c r="K104" i="1"/>
  <c r="L104" i="1" s="1"/>
  <c r="N33" i="1"/>
  <c r="J33" i="1"/>
  <c r="I33" i="1"/>
  <c r="N84" i="1"/>
  <c r="J84" i="1"/>
  <c r="I84" i="1"/>
  <c r="N11" i="1"/>
  <c r="N12" i="1"/>
  <c r="N13" i="1"/>
  <c r="N14" i="1"/>
  <c r="N17" i="1"/>
  <c r="N18" i="1"/>
  <c r="N19" i="1"/>
  <c r="N20" i="1"/>
  <c r="N21" i="1"/>
  <c r="N22" i="1"/>
  <c r="N23" i="1"/>
  <c r="N24" i="1"/>
  <c r="N29" i="1"/>
  <c r="N30" i="1"/>
  <c r="N106" i="1"/>
  <c r="N107" i="1"/>
  <c r="N108" i="1"/>
  <c r="N31" i="1"/>
  <c r="N32" i="1"/>
  <c r="N35" i="1"/>
  <c r="N36" i="1"/>
  <c r="N37" i="1"/>
  <c r="N38" i="1"/>
  <c r="N39" i="1"/>
  <c r="N11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8" i="1"/>
  <c r="N79" i="1"/>
  <c r="N80" i="1"/>
  <c r="N81" i="1"/>
  <c r="N82" i="1"/>
  <c r="N83" i="1"/>
  <c r="N86" i="1"/>
  <c r="N87" i="1"/>
  <c r="N89" i="1"/>
  <c r="N90" i="1"/>
  <c r="N91" i="1"/>
  <c r="N109" i="1"/>
  <c r="N93" i="1"/>
  <c r="N94" i="1"/>
  <c r="N95" i="1"/>
  <c r="N96" i="1"/>
  <c r="N101" i="1"/>
  <c r="N10" i="1"/>
  <c r="K33" i="1" l="1"/>
  <c r="L33" i="1" s="1"/>
  <c r="K84" i="1"/>
  <c r="L84" i="1" s="1"/>
  <c r="J38" i="1"/>
  <c r="I38" i="1"/>
  <c r="J12" i="1"/>
  <c r="I12" i="1"/>
  <c r="J11" i="1"/>
  <c r="I11" i="1"/>
  <c r="J89" i="1"/>
  <c r="I89" i="1"/>
  <c r="J36" i="1"/>
  <c r="I36" i="1"/>
  <c r="G17" i="7"/>
  <c r="J10" i="8"/>
  <c r="J8" i="8"/>
  <c r="J9" i="8"/>
  <c r="J11" i="8"/>
  <c r="J12" i="8"/>
  <c r="J13" i="8"/>
  <c r="J15" i="8"/>
  <c r="J16" i="8"/>
  <c r="K11" i="1" l="1"/>
  <c r="L11" i="1" s="1"/>
  <c r="K89" i="1"/>
  <c r="L89" i="1" s="1"/>
  <c r="K12" i="1"/>
  <c r="L12" i="1" s="1"/>
  <c r="K36" i="1"/>
  <c r="L36" i="1" s="1"/>
  <c r="K38" i="1"/>
  <c r="L38" i="1" s="1"/>
  <c r="F14" i="8"/>
  <c r="E14" i="8"/>
  <c r="J14" i="8" s="1"/>
  <c r="E7" i="8"/>
  <c r="J7" i="8" s="1"/>
  <c r="F6" i="8"/>
  <c r="E6" i="8"/>
  <c r="J6" i="8" l="1"/>
  <c r="I13" i="1"/>
  <c r="I14" i="1"/>
  <c r="I17" i="1"/>
  <c r="I18" i="1"/>
  <c r="I19" i="1"/>
  <c r="I20" i="1"/>
  <c r="I21" i="1"/>
  <c r="I22" i="1"/>
  <c r="I23" i="1"/>
  <c r="I24" i="1"/>
  <c r="I29" i="1"/>
  <c r="I30" i="1"/>
  <c r="I106" i="1"/>
  <c r="I107" i="1"/>
  <c r="I108" i="1"/>
  <c r="I31" i="1"/>
  <c r="I32" i="1"/>
  <c r="I35" i="1"/>
  <c r="I37" i="1"/>
  <c r="I39" i="1"/>
  <c r="I11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8" i="1"/>
  <c r="I79" i="1"/>
  <c r="I80" i="1"/>
  <c r="I81" i="1"/>
  <c r="I82" i="1"/>
  <c r="I83" i="1"/>
  <c r="I86" i="1"/>
  <c r="I87" i="1"/>
  <c r="I90" i="1"/>
  <c r="I91" i="1"/>
  <c r="I109" i="1"/>
  <c r="I93" i="1"/>
  <c r="I94" i="1"/>
  <c r="I95" i="1"/>
  <c r="I96" i="1"/>
  <c r="I101" i="1"/>
  <c r="I10" i="1"/>
  <c r="J13" i="1"/>
  <c r="J14" i="1"/>
  <c r="J17" i="1"/>
  <c r="J18" i="1"/>
  <c r="J19" i="1"/>
  <c r="J20" i="1"/>
  <c r="J21" i="1"/>
  <c r="J22" i="1"/>
  <c r="J23" i="1"/>
  <c r="J24" i="1"/>
  <c r="J29" i="1"/>
  <c r="J30" i="1"/>
  <c r="J106" i="1"/>
  <c r="J107" i="1"/>
  <c r="J108" i="1"/>
  <c r="J31" i="1"/>
  <c r="J32" i="1"/>
  <c r="J35" i="1"/>
  <c r="J37" i="1"/>
  <c r="J39" i="1"/>
  <c r="J11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8" i="1"/>
  <c r="J79" i="1"/>
  <c r="J80" i="1"/>
  <c r="J81" i="1"/>
  <c r="J82" i="1"/>
  <c r="J83" i="1"/>
  <c r="J86" i="1"/>
  <c r="J87" i="1"/>
  <c r="J90" i="1"/>
  <c r="J91" i="1"/>
  <c r="J109" i="1"/>
  <c r="J93" i="1"/>
  <c r="J94" i="1"/>
  <c r="J95" i="1"/>
  <c r="J96" i="1"/>
  <c r="J101" i="1"/>
  <c r="J10" i="1"/>
  <c r="K91" i="1" l="1"/>
  <c r="K74" i="1"/>
  <c r="K62" i="1"/>
  <c r="L62" i="1" s="1"/>
  <c r="K50" i="1"/>
  <c r="K37" i="1"/>
  <c r="L37" i="1" s="1"/>
  <c r="K30" i="1"/>
  <c r="L30" i="1" s="1"/>
  <c r="K10" i="1"/>
  <c r="L10" i="1" s="1"/>
  <c r="K71" i="1"/>
  <c r="L71" i="1" s="1"/>
  <c r="K59" i="1"/>
  <c r="L59" i="1" s="1"/>
  <c r="K47" i="1"/>
  <c r="L47" i="1" s="1"/>
  <c r="K90" i="1"/>
  <c r="L90" i="1" s="1"/>
  <c r="K72" i="1"/>
  <c r="L72" i="1" s="1"/>
  <c r="K60" i="1"/>
  <c r="L60" i="1" s="1"/>
  <c r="K48" i="1"/>
  <c r="L48" i="1" s="1"/>
  <c r="K32" i="1"/>
  <c r="L32" i="1" s="1"/>
  <c r="K24" i="1"/>
  <c r="L24" i="1" s="1"/>
  <c r="K23" i="1"/>
  <c r="L23" i="1" s="1"/>
  <c r="K73" i="1"/>
  <c r="L73" i="1" s="1"/>
  <c r="K61" i="1"/>
  <c r="L61" i="1" s="1"/>
  <c r="K49" i="1"/>
  <c r="L49" i="1" s="1"/>
  <c r="K35" i="1"/>
  <c r="L35" i="1" s="1"/>
  <c r="K29" i="1"/>
  <c r="L29" i="1" s="1"/>
  <c r="K101" i="1"/>
  <c r="L101" i="1" s="1"/>
  <c r="K87" i="1"/>
  <c r="L87" i="1" s="1"/>
  <c r="K70" i="1"/>
  <c r="L70" i="1" s="1"/>
  <c r="K58" i="1"/>
  <c r="L58" i="1" s="1"/>
  <c r="K46" i="1"/>
  <c r="L46" i="1" s="1"/>
  <c r="K22" i="1"/>
  <c r="L22" i="1" s="1"/>
  <c r="K96" i="1"/>
  <c r="L96" i="1" s="1"/>
  <c r="K86" i="1"/>
  <c r="L86" i="1" s="1"/>
  <c r="K69" i="1"/>
  <c r="L69" i="1" s="1"/>
  <c r="K57" i="1"/>
  <c r="L57" i="1" s="1"/>
  <c r="K45" i="1"/>
  <c r="L45" i="1" s="1"/>
  <c r="K21" i="1"/>
  <c r="L21" i="1" s="1"/>
  <c r="K95" i="1"/>
  <c r="L95" i="1" s="1"/>
  <c r="K83" i="1"/>
  <c r="L83" i="1" s="1"/>
  <c r="K68" i="1"/>
  <c r="L68" i="1" s="1"/>
  <c r="K56" i="1"/>
  <c r="L56" i="1" s="1"/>
  <c r="K44" i="1"/>
  <c r="L44" i="1" s="1"/>
  <c r="K20" i="1"/>
  <c r="L20" i="1" s="1"/>
  <c r="K94" i="1"/>
  <c r="L94" i="1" s="1"/>
  <c r="K82" i="1"/>
  <c r="L82" i="1" s="1"/>
  <c r="K67" i="1"/>
  <c r="L67" i="1" s="1"/>
  <c r="K55" i="1"/>
  <c r="L55" i="1" s="1"/>
  <c r="K43" i="1"/>
  <c r="L43" i="1" s="1"/>
  <c r="K31" i="1"/>
  <c r="L31" i="1" s="1"/>
  <c r="K19" i="1"/>
  <c r="L19" i="1" s="1"/>
  <c r="K93" i="1"/>
  <c r="L93" i="1" s="1"/>
  <c r="K81" i="1"/>
  <c r="L81" i="1" s="1"/>
  <c r="K66" i="1"/>
  <c r="L66" i="1" s="1"/>
  <c r="K54" i="1"/>
  <c r="L54" i="1" s="1"/>
  <c r="K42" i="1"/>
  <c r="L42" i="1" s="1"/>
  <c r="K18" i="1"/>
  <c r="L18" i="1" s="1"/>
  <c r="K80" i="1"/>
  <c r="L80" i="1" s="1"/>
  <c r="K65" i="1"/>
  <c r="L65" i="1" s="1"/>
  <c r="K53" i="1"/>
  <c r="L53" i="1" s="1"/>
  <c r="K108" i="1"/>
  <c r="L108" i="1" s="1"/>
  <c r="K17" i="1"/>
  <c r="L17" i="1" s="1"/>
  <c r="K79" i="1"/>
  <c r="L79" i="1" s="1"/>
  <c r="K64" i="1"/>
  <c r="L64" i="1" s="1"/>
  <c r="K52" i="1"/>
  <c r="L52" i="1" s="1"/>
  <c r="K111" i="1"/>
  <c r="L111" i="1" s="1"/>
  <c r="K107" i="1"/>
  <c r="L107" i="1" s="1"/>
  <c r="K14" i="1"/>
  <c r="L14" i="1" s="1"/>
  <c r="K109" i="1"/>
  <c r="L109" i="1" s="1"/>
  <c r="K78" i="1"/>
  <c r="L78" i="1" s="1"/>
  <c r="K63" i="1"/>
  <c r="L63" i="1" s="1"/>
  <c r="K51" i="1"/>
  <c r="L51" i="1" s="1"/>
  <c r="K39" i="1"/>
  <c r="L39" i="1" s="1"/>
  <c r="K106" i="1"/>
  <c r="L106" i="1" s="1"/>
  <c r="K13" i="1"/>
  <c r="L13" i="1" s="1"/>
  <c r="K24" i="6"/>
  <c r="J24" i="6"/>
  <c r="C15" i="6"/>
  <c r="H15" i="6" s="1"/>
  <c r="K12" i="6"/>
  <c r="J12" i="6"/>
  <c r="L50" i="1"/>
  <c r="L74" i="1"/>
  <c r="L91" i="1"/>
  <c r="L4" i="1" l="1"/>
  <c r="M4" i="1"/>
  <c r="L3" i="1"/>
  <c r="M3" i="1"/>
  <c r="M6" i="1" l="1"/>
  <c r="M7" i="1" s="1"/>
  <c r="K4" i="1"/>
  <c r="L6" i="1"/>
  <c r="L7" i="1" s="1"/>
  <c r="K3" i="1"/>
  <c r="K6" i="1" l="1"/>
  <c r="K7" i="1" s="1"/>
</calcChain>
</file>

<file path=xl/sharedStrings.xml><?xml version="1.0" encoding="utf-8"?>
<sst xmlns="http://schemas.openxmlformats.org/spreadsheetml/2006/main" count="1412" uniqueCount="191">
  <si>
    <t>Solicita</t>
  </si>
  <si>
    <t>Fecha</t>
  </si>
  <si>
    <t>Rubro</t>
  </si>
  <si>
    <t>Cantidad</t>
  </si>
  <si>
    <t>U/M</t>
  </si>
  <si>
    <t>Articulo</t>
  </si>
  <si>
    <t>Proveedor</t>
  </si>
  <si>
    <t>Sector</t>
  </si>
  <si>
    <t>Moneda</t>
  </si>
  <si>
    <t>$</t>
  </si>
  <si>
    <t>Fecha Entrega</t>
  </si>
  <si>
    <t>Mes</t>
  </si>
  <si>
    <t>Estado</t>
  </si>
  <si>
    <t>Observación</t>
  </si>
  <si>
    <t>Pedido</t>
  </si>
  <si>
    <t>Entrega</t>
  </si>
  <si>
    <t>Factura/Remito</t>
  </si>
  <si>
    <t>Planta</t>
  </si>
  <si>
    <t>PRODUCTOS QUIMICOS</t>
  </si>
  <si>
    <t>Kilos</t>
  </si>
  <si>
    <t>Acido lactico</t>
  </si>
  <si>
    <t>Sabatini Daniel</t>
  </si>
  <si>
    <t>U$D</t>
  </si>
  <si>
    <t>febrero</t>
  </si>
  <si>
    <t>Pendiente</t>
  </si>
  <si>
    <t>marzo</t>
  </si>
  <si>
    <t>Acido Clorhidrico</t>
  </si>
  <si>
    <t>Acido Acetico</t>
  </si>
  <si>
    <t>Soda Caustica 100% en perlas</t>
  </si>
  <si>
    <t>Laboratorio Quimicos SRL</t>
  </si>
  <si>
    <t>enero</t>
  </si>
  <si>
    <t>Cumplido</t>
  </si>
  <si>
    <t>A-2-7312</t>
  </si>
  <si>
    <t>A-2-29299</t>
  </si>
  <si>
    <t>abril</t>
  </si>
  <si>
    <t>Acido Ascorbico</t>
  </si>
  <si>
    <t>Acido Citrico</t>
  </si>
  <si>
    <t>Quimica Mega</t>
  </si>
  <si>
    <t>A-2-52697</t>
  </si>
  <si>
    <t>Equipo de sal a granel</t>
  </si>
  <si>
    <t>La Industrial Salinera</t>
  </si>
  <si>
    <t>Sorbato de Potasio</t>
  </si>
  <si>
    <t>mayo</t>
  </si>
  <si>
    <t>Equipo de sal en Bolsas</t>
  </si>
  <si>
    <t>Calcio</t>
  </si>
  <si>
    <t>junio</t>
  </si>
  <si>
    <t>Pimiento</t>
  </si>
  <si>
    <t>Alginato</t>
  </si>
  <si>
    <t>Goma guar</t>
  </si>
  <si>
    <t>Aji</t>
  </si>
  <si>
    <t>Benzoato de sodio</t>
  </si>
  <si>
    <t>Importe</t>
  </si>
  <si>
    <t>PRODUCCION DE PASTA</t>
  </si>
  <si>
    <t>Total general</t>
  </si>
  <si>
    <t>Total PRODUCCION DE PASTA</t>
  </si>
  <si>
    <t>Total</t>
  </si>
  <si>
    <t>Suma de Total</t>
  </si>
  <si>
    <t>Suma de Cantidad</t>
  </si>
  <si>
    <t>Descripción</t>
  </si>
  <si>
    <t>llego</t>
  </si>
  <si>
    <t>Por llegar</t>
  </si>
  <si>
    <t xml:space="preserve">Febrero </t>
  </si>
  <si>
    <t>Marzo</t>
  </si>
  <si>
    <t xml:space="preserve">Abril </t>
  </si>
  <si>
    <t>Mayo</t>
  </si>
  <si>
    <t>Junio</t>
  </si>
  <si>
    <t>Laboratorio</t>
  </si>
  <si>
    <t>Acido Clorhidrico 1 N x 1 litro</t>
  </si>
  <si>
    <t>Buffer PH 4 x 1 litro</t>
  </si>
  <si>
    <t>Buffer PH 7 x 1 litro</t>
  </si>
  <si>
    <t>capsula imantada</t>
  </si>
  <si>
    <t>Fenolftaleina 1% x 1 litro</t>
  </si>
  <si>
    <t>Hidorxido de sodio 0,1N x 1 litro</t>
  </si>
  <si>
    <t>Recipientes esterilizados para analisis</t>
  </si>
  <si>
    <t>Sulfaclean x 1 litro</t>
  </si>
  <si>
    <t>Termometro de 0ºc a 100ºc</t>
  </si>
  <si>
    <t>Productos Químicos</t>
  </si>
  <si>
    <t>Acido clorhidrico</t>
  </si>
  <si>
    <t>Sal a Granel</t>
  </si>
  <si>
    <t>Equipo</t>
  </si>
  <si>
    <t>Sal en Bolsas</t>
  </si>
  <si>
    <t>Bidones Tau 240</t>
  </si>
  <si>
    <t xml:space="preserve">Unidades </t>
  </si>
  <si>
    <t>INSUMOS DE CAMPAÑA</t>
  </si>
  <si>
    <t>Total INSUMOS DE CAMPAÑA</t>
  </si>
  <si>
    <t>Descripcion</t>
  </si>
  <si>
    <t>Sabatini</t>
  </si>
  <si>
    <t>Sabatini $ puesto en finca</t>
  </si>
  <si>
    <t>Quimica Mega $ puesto en transporte Bs.As. (adicionar flete Bs. As. - Chilecito)</t>
  </si>
  <si>
    <t>DSI</t>
  </si>
  <si>
    <t>Proquimica</t>
  </si>
  <si>
    <t>Etiquetas de fila</t>
  </si>
  <si>
    <t>Totales U$D</t>
  </si>
  <si>
    <t>Totales $</t>
  </si>
  <si>
    <t>Ins.Campaña</t>
  </si>
  <si>
    <t>Z</t>
  </si>
  <si>
    <t>Total Cumplido</t>
  </si>
  <si>
    <t>Total Pendiente</t>
  </si>
  <si>
    <t>Total marzo</t>
  </si>
  <si>
    <t>julio</t>
  </si>
  <si>
    <t>Total abril</t>
  </si>
  <si>
    <t>Total mayo</t>
  </si>
  <si>
    <t>Proquim</t>
  </si>
  <si>
    <t>DSI $ puesto en Mendoza</t>
  </si>
  <si>
    <t>Proquim $ puesto en finca</t>
  </si>
  <si>
    <t>Tipo</t>
  </si>
  <si>
    <t>TN</t>
  </si>
  <si>
    <t>Granel</t>
  </si>
  <si>
    <t>$Total</t>
  </si>
  <si>
    <t>$IVA</t>
  </si>
  <si>
    <t>Bolsa</t>
  </si>
  <si>
    <t>Comprobante</t>
  </si>
  <si>
    <t>5-15479</t>
  </si>
  <si>
    <t>5-15553</t>
  </si>
  <si>
    <t>5-15639</t>
  </si>
  <si>
    <t>5-15724</t>
  </si>
  <si>
    <t>5-15760</t>
  </si>
  <si>
    <t>5-15801</t>
  </si>
  <si>
    <t>5-15835</t>
  </si>
  <si>
    <t>5-15857</t>
  </si>
  <si>
    <t>5-15875</t>
  </si>
  <si>
    <t>5-15919</t>
  </si>
  <si>
    <t>Tonelada</t>
  </si>
  <si>
    <t>Toneladas</t>
  </si>
  <si>
    <t>R-1-40859</t>
  </si>
  <si>
    <t>R-1-40883</t>
  </si>
  <si>
    <t>R-1-40923</t>
  </si>
  <si>
    <t>Total enero</t>
  </si>
  <si>
    <t>Total febrero</t>
  </si>
  <si>
    <t>Lab. Quimicos</t>
  </si>
  <si>
    <t>R-1-40971</t>
  </si>
  <si>
    <t>R-1-41030</t>
  </si>
  <si>
    <t>R-1-40997</t>
  </si>
  <si>
    <t>R-1-139980</t>
  </si>
  <si>
    <t>R-1-139992</t>
  </si>
  <si>
    <t>R-1-41041</t>
  </si>
  <si>
    <t>R-8-5327</t>
  </si>
  <si>
    <t>Cloro Mendoza</t>
  </si>
  <si>
    <t>R-1-41052</t>
  </si>
  <si>
    <t>R-1-41068</t>
  </si>
  <si>
    <t>R-1-140000</t>
  </si>
  <si>
    <t>R-1-140038</t>
  </si>
  <si>
    <t>R-1-41099</t>
  </si>
  <si>
    <t>R-1-41130</t>
  </si>
  <si>
    <t>R-1-41138</t>
  </si>
  <si>
    <t>(Fecha Entrega)</t>
  </si>
  <si>
    <t>R-1-41202</t>
  </si>
  <si>
    <t>R-1-41223</t>
  </si>
  <si>
    <t>R-8-5428</t>
  </si>
  <si>
    <t>R-1-140116</t>
  </si>
  <si>
    <t>R-1-41270</t>
  </si>
  <si>
    <t>R-1-41269</t>
  </si>
  <si>
    <t>R-1-41293</t>
  </si>
  <si>
    <t>R-1-41309</t>
  </si>
  <si>
    <t>R-1-41333</t>
  </si>
  <si>
    <t>R-1-17884 (para devolución)</t>
  </si>
  <si>
    <t>R-1-41360</t>
  </si>
  <si>
    <t>R-1-41379</t>
  </si>
  <si>
    <t>U$D Bill Venta</t>
  </si>
  <si>
    <t>R-1-41396</t>
  </si>
  <si>
    <t>Prod. Pasta</t>
  </si>
  <si>
    <t>R-1-41420</t>
  </si>
  <si>
    <t>R-1-1019</t>
  </si>
  <si>
    <t>R-1-140042</t>
  </si>
  <si>
    <t>R-1-140043</t>
  </si>
  <si>
    <t>R-1-41479</t>
  </si>
  <si>
    <t>R-1-140224</t>
  </si>
  <si>
    <t>R-1-41507</t>
  </si>
  <si>
    <t>Equipo de sal entrefina Lavada</t>
  </si>
  <si>
    <t>R-1-404</t>
  </si>
  <si>
    <t>R-1-41571</t>
  </si>
  <si>
    <t>R-17-179</t>
  </si>
  <si>
    <t>R-1-415</t>
  </si>
  <si>
    <t>R-1-410</t>
  </si>
  <si>
    <t>R-1-420</t>
  </si>
  <si>
    <t>Total junio</t>
  </si>
  <si>
    <t>R-19-1395</t>
  </si>
  <si>
    <t>R-1-140397</t>
  </si>
  <si>
    <t>R-1-41752</t>
  </si>
  <si>
    <t>Salazar</t>
  </si>
  <si>
    <t>R-1-1265</t>
  </si>
  <si>
    <t>Equipo de Sal a granel</t>
  </si>
  <si>
    <t>R-1-42253</t>
  </si>
  <si>
    <t>R-1-512</t>
  </si>
  <si>
    <t>agosto</t>
  </si>
  <si>
    <t>Total julio</t>
  </si>
  <si>
    <t>Total agosto</t>
  </si>
  <si>
    <t>septiembre</t>
  </si>
  <si>
    <t>R-1-577</t>
  </si>
  <si>
    <t>Olivera Daniel</t>
  </si>
  <si>
    <t>R-1-597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</si>
</sst>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.00"/>
    <numFmt numFmtId="165" formatCode="_-[$USD]\ * #,##0.00_-;\-[$USD]\ * #,##0.00_-;_-[$USD]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Roboto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4" tint="0.7999816888943144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pivotButton="1"/>
    <xf numFmtId="44" fontId="0" fillId="0" borderId="0" xfId="0" applyNumberFormat="1"/>
    <xf numFmtId="44" fontId="3" fillId="2" borderId="1" xfId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5" fillId="0" borderId="5" xfId="1" applyFont="1" applyBorder="1" applyAlignment="1">
      <alignment horizontal="center"/>
    </xf>
    <xf numFmtId="44" fontId="5" fillId="0" borderId="6" xfId="1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44" fontId="5" fillId="0" borderId="8" xfId="1" applyFont="1" applyBorder="1"/>
    <xf numFmtId="44" fontId="5" fillId="0" borderId="10" xfId="1" applyFont="1" applyBorder="1"/>
    <xf numFmtId="165" fontId="0" fillId="0" borderId="0" xfId="0" applyNumberFormat="1"/>
    <xf numFmtId="165" fontId="0" fillId="0" borderId="0" xfId="1" applyNumberFormat="1" applyFont="1" applyBorder="1"/>
    <xf numFmtId="165" fontId="0" fillId="0" borderId="9" xfId="1" applyNumberFormat="1" applyFont="1" applyBorder="1"/>
    <xf numFmtId="165" fontId="0" fillId="0" borderId="11" xfId="0" applyNumberFormat="1" applyBorder="1"/>
    <xf numFmtId="165" fontId="0" fillId="0" borderId="11" xfId="1" applyNumberFormat="1" applyFont="1" applyBorder="1"/>
    <xf numFmtId="165" fontId="0" fillId="0" borderId="12" xfId="1" applyNumberFormat="1" applyFont="1" applyBorder="1"/>
    <xf numFmtId="44" fontId="5" fillId="0" borderId="5" xfId="1" applyFont="1" applyBorder="1"/>
    <xf numFmtId="165" fontId="5" fillId="0" borderId="6" xfId="0" applyNumberFormat="1" applyFont="1" applyBorder="1"/>
    <xf numFmtId="165" fontId="5" fillId="0" borderId="7" xfId="0" applyNumberFormat="1" applyFont="1" applyBorder="1"/>
    <xf numFmtId="44" fontId="5" fillId="0" borderId="11" xfId="1" applyFont="1" applyBorder="1"/>
    <xf numFmtId="44" fontId="5" fillId="0" borderId="12" xfId="1" applyFon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7" fillId="0" borderId="0" xfId="0" applyFont="1"/>
    <xf numFmtId="0" fontId="4" fillId="4" borderId="0" xfId="0" applyFont="1" applyFill="1"/>
    <xf numFmtId="0" fontId="4" fillId="0" borderId="0" xfId="0" applyFont="1"/>
  </cellXfs>
  <cellStyles count="3">
    <cellStyle name="Moneda" xfId="1" builtinId="4"/>
    <cellStyle name="Normal" xfId="0" builtinId="0"/>
    <cellStyle name="Normal 2 3" xfId="2" xr:uid="{1D32B0D1-24D0-4CD1-BA07-AB849F504D40}"/>
  </cellStyles>
  <dxfs count="46">
    <dxf>
      <fill>
        <patternFill>
          <bgColor theme="9" tint="0.59996337778862885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1" formatCode="d\-m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65" formatCode="_-[$USD]\ * #,##0.00_-;\-[$USD]\ * #,##0.00_-;_-[$USD]\ * &quot;-&quot;??_-;_-@_-"/>
    </dxf>
    <dxf>
      <numFmt numFmtId="165" formatCode="_-[$USD]\ * #,##0.00_-;\-[$USD]\ * #,##0.00_-;_-[$USD]\ * &quot;-&quot;??_-;_-@_-"/>
    </dxf>
    <dxf>
      <font>
        <color theme="4" tint="0.79998168889431442"/>
      </font>
    </dxf>
    <dxf>
      <fill>
        <patternFill patternType="solid">
          <bgColor theme="4" tint="0.79998168889431442"/>
        </patternFill>
      </fill>
    </dxf>
    <dxf>
      <font>
        <color theme="0"/>
      </font>
    </dxf>
    <dxf>
      <numFmt numFmtId="165" formatCode="_-[$USD]\ * #,##0.00_-;\-[$USD]\ * #,##0.00_-;_-[$USD]\ * &quot;-&quot;??_-;_-@_-"/>
    </dxf>
    <dxf>
      <numFmt numFmtId="165" formatCode="_-[$USD]\ * #,##0.00_-;\-[$USD]\ * #,##0.00_-;_-[$USD]\ * &quot;-&quot;??_-;_-@_-"/>
    </dxf>
    <dxf>
      <font>
        <color theme="4" tint="0.79998168889431442"/>
      </font>
    </dxf>
    <dxf>
      <fill>
        <patternFill patternType="solid">
          <bgColor theme="4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4" tint="0.79998168889431442"/>
      </font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_-[$USD]\ * #,##0.00_-;\-[$USD]\ * #,##0.00_-;_-[$USD]\ * &quot;-&quot;??_-;_-@_-"/>
    </dxf>
    <dxf>
      <numFmt numFmtId="165" formatCode="_-[$USD]\ * #,##0.00_-;\-[$USD]\ * #,##0.00_-;_-[$USD]\ * &quot;-&quot;??_-;_-@_-"/>
    </dxf>
    <dxf>
      <font>
        <color theme="4" tint="0.79998168889431442"/>
      </font>
    </dxf>
    <dxf>
      <fill>
        <patternFill patternType="solid">
          <bgColor theme="4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numFmt numFmtId="35" formatCode="_-* #,##0.00_-;\-* #,##0.00_-;_-* &quot;-&quot;??_-;_-@_-"/>
    </dxf>
    <dxf>
      <numFmt numFmtId="164" formatCode="&quot;$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alignment horizontal="center" vertical="bottom" textRotation="0" wrapText="0" indent="0" justifyLastLine="0" shrinkToFit="0" readingOrder="0"/>
    </dxf>
    <dxf>
      <numFmt numFmtId="19" formatCode="d/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180361</xdr:colOff>
      <xdr:row>6</xdr:row>
      <xdr:rowOff>85725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2ED7965-597B-4616-BB5D-896CBA40A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03054" cy="1085850"/>
        </a:xfrm>
        <a:prstGeom prst="rect">
          <a:avLst/>
        </a:prstGeom>
      </xdr:spPr>
    </xdr:pic>
    <xdr:clientData/>
  </xdr:twoCellAnchor>
  <xdr:twoCellAnchor editAs="oneCell">
    <xdr:from>
      <xdr:col>6</xdr:col>
      <xdr:colOff>603564</xdr:colOff>
      <xdr:row>1</xdr:row>
      <xdr:rowOff>9431</xdr:rowOff>
    </xdr:from>
    <xdr:to>
      <xdr:col>7</xdr:col>
      <xdr:colOff>1027946</xdr:colOff>
      <xdr:row>7</xdr:row>
      <xdr:rowOff>180310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6C334A-95D1-454B-B9BA-618C402BB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2623" y="198045"/>
          <a:ext cx="2027600" cy="1161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695325</xdr:colOff>
      <xdr:row>0</xdr:row>
      <xdr:rowOff>95250</xdr:rowOff>
    </xdr:from>
    <xdr:to>
      <xdr:col>20</xdr:col>
      <xdr:colOff>457592</xdr:colOff>
      <xdr:row>11</xdr:row>
      <xdr:rowOff>47911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D1465E-49D4-4DCB-C5DD-14C677516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54175" y="95250"/>
          <a:ext cx="2810267" cy="2048161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11</xdr:row>
      <xdr:rowOff>9525</xdr:rowOff>
    </xdr:from>
    <xdr:to>
      <xdr:col>18</xdr:col>
      <xdr:colOff>0</xdr:colOff>
      <xdr:row>19</xdr:row>
      <xdr:rowOff>31414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7F7D327-AFA2-0441-5333-0766C34A9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20275" y="2105025"/>
          <a:ext cx="5362575" cy="1545889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0</xdr:row>
      <xdr:rowOff>0</xdr:rowOff>
    </xdr:from>
    <xdr:to>
      <xdr:col>16</xdr:col>
      <xdr:colOff>647700</xdr:colOff>
      <xdr:row>11</xdr:row>
      <xdr:rowOff>145050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932FBB3-A557-7049-5851-E97E582D8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96475" y="0"/>
          <a:ext cx="4410075" cy="224055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9526</xdr:colOff>
      <xdr:row>19</xdr:row>
      <xdr:rowOff>9525</xdr:rowOff>
    </xdr:from>
    <xdr:to>
      <xdr:col>19</xdr:col>
      <xdr:colOff>180976</xdr:colOff>
      <xdr:row>28</xdr:row>
      <xdr:rowOff>2013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10F173-192E-9DFF-0A4C-1E73020E5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58376" y="3629025"/>
          <a:ext cx="6267450" cy="1706988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28</xdr:row>
      <xdr:rowOff>28575</xdr:rowOff>
    </xdr:from>
    <xdr:to>
      <xdr:col>19</xdr:col>
      <xdr:colOff>467640</xdr:colOff>
      <xdr:row>36</xdr:row>
      <xdr:rowOff>143104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2F08F9B-8499-7972-B549-79C7F5540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58375" y="5362575"/>
          <a:ext cx="6554115" cy="16385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10589</xdr:colOff>
      <xdr:row>0</xdr:row>
      <xdr:rowOff>40822</xdr:rowOff>
    </xdr:from>
    <xdr:to>
      <xdr:col>5</xdr:col>
      <xdr:colOff>870155</xdr:colOff>
      <xdr:row>1</xdr:row>
      <xdr:rowOff>308882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stado">
              <a:extLst>
                <a:ext uri="{FF2B5EF4-FFF2-40B4-BE49-F238E27FC236}">
                  <a16:creationId xmlns:a16="http://schemas.microsoft.com/office/drawing/2014/main" id="{07E98048-8271-8DC5-E5D6-7C3365C62A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02198" y="40822"/>
              <a:ext cx="3504136" cy="7140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10589</xdr:colOff>
      <xdr:row>0</xdr:row>
      <xdr:rowOff>40822</xdr:rowOff>
    </xdr:from>
    <xdr:to>
      <xdr:col>5</xdr:col>
      <xdr:colOff>571114</xdr:colOff>
      <xdr:row>1</xdr:row>
      <xdr:rowOff>308882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stado 1">
              <a:extLst>
                <a:ext uri="{FF2B5EF4-FFF2-40B4-BE49-F238E27FC236}">
                  <a16:creationId xmlns:a16="http://schemas.microsoft.com/office/drawing/2014/main" id="{86319D73-0F32-403A-8695-B46E82731B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65211" y="40822"/>
              <a:ext cx="3528781" cy="7110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88.413066319445" createdVersion="8" refreshedVersion="8" minRefreshableVersion="3" recordCount="104" xr:uid="{CA54ED86-EA3A-480E-9B4C-3CED0A3DDEDC}">
  <cacheSource type="worksheet">
    <worksheetSource name="Tabla1"/>
  </cacheSource>
  <cacheFields count="21">
    <cacheField name="Solicita" numFmtId="0">
      <sharedItems containsBlank="1"/>
    </cacheField>
    <cacheField name="Fecha" numFmtId="14">
      <sharedItems containsSemiMixedTypes="0" containsNonDate="0" containsDate="1" containsString="0" minDate="2023-01-22T00:00:00" maxDate="2026-08-20T00:00:00"/>
    </cacheField>
    <cacheField name="Rubro" numFmtId="0">
      <sharedItems/>
    </cacheField>
    <cacheField name="Cantidad" numFmtId="0">
      <sharedItems containsSemiMixedTypes="0" containsString="0" containsNumber="1" minValue="14.8" maxValue="28800"/>
    </cacheField>
    <cacheField name="U/M" numFmtId="0">
      <sharedItems count="3">
        <s v="Kilos"/>
        <s v="Toneladas"/>
        <s v="Unidades" u="1"/>
      </sharedItems>
    </cacheField>
    <cacheField name="Articulo" numFmtId="0">
      <sharedItems count="16">
        <s v="Acido Acetico"/>
        <s v="Acido Ascorbico"/>
        <s v="Acido Citrico"/>
        <s v="Acido Clorhidrico"/>
        <s v="Acido lactico"/>
        <s v="Alginato"/>
        <s v="Benzoato de sodio"/>
        <s v="Calcio"/>
        <s v="Equipo de sal a granel"/>
        <s v="Equipo de sal en Bolsas"/>
        <s v="Equipo de sal entrefina Lavada"/>
        <s v="Goma guar"/>
        <s v="Pimiento"/>
        <s v="Soda Caustica 100% en perlas"/>
        <s v="Sorbato de Potasio"/>
        <s v="Aji"/>
      </sharedItems>
    </cacheField>
    <cacheField name="Proveedor" numFmtId="0">
      <sharedItems containsBlank="1"/>
    </cacheField>
    <cacheField name="Sector" numFmtId="0">
      <sharedItems containsBlank="1" count="4">
        <s v="INSUMOS DE CAMPAÑA"/>
        <s v="PRODUCCION DE PASTA"/>
        <s v="INSUMOS DE ELABORACION" u="1"/>
        <m u="1"/>
      </sharedItems>
    </cacheField>
    <cacheField name="Moneda" numFmtId="0">
      <sharedItems count="2">
        <s v="U$D"/>
        <s v="$"/>
      </sharedItems>
    </cacheField>
    <cacheField name="$" numFmtId="44">
      <sharedItems containsSemiMixedTypes="0" containsString="0" containsNumber="1" minValue="0.34" maxValue="7224000" count="23">
        <n v="1.6"/>
        <n v="4.0999999999999996"/>
        <n v="1.55"/>
        <n v="0.34"/>
        <n v="2.4500000000000002"/>
        <n v="12.7"/>
        <n v="2.8"/>
        <n v="0.85"/>
        <n v="101000"/>
        <n v="137500"/>
        <n v="155000"/>
        <n v="2.95"/>
        <n v="2.1156999999999999"/>
        <n v="1.2"/>
        <n v="4.5"/>
        <n v="3.15"/>
        <n v="13.19" u="1"/>
        <n v="0.38" u="1"/>
        <n v="2.7" u="1"/>
        <n v="2828000" u="1"/>
        <n v="3878000" u="1"/>
        <n v="4.25" u="1"/>
        <n v="7224000" u="1"/>
      </sharedItems>
    </cacheField>
    <cacheField name="Importe" numFmtId="44">
      <sharedItems containsSemiMixedTypes="0" containsString="0" containsNumber="1" minValue="0.34" maxValue="100.9771986970684"/>
    </cacheField>
    <cacheField name="Total" numFmtId="44">
      <sharedItems containsSemiMixedTypes="0" containsString="0" containsNumber="1" minValue="94.5" maxValue="34560"/>
    </cacheField>
    <cacheField name="Fecha Entrega" numFmtId="14">
      <sharedItems containsSemiMixedTypes="0" containsNonDate="0" containsDate="1" containsString="0" minDate="2026-01-01T00:00:00" maxDate="2026-10-01T00:00:00" count="87">
        <d v="2026-02-13T00:00:00"/>
        <d v="2026-02-06T00:00:00"/>
        <d v="2026-03-21T00:00:00"/>
        <d v="2026-03-27T00:00:00"/>
        <d v="2026-05-11T00:00:00"/>
        <d v="2026-04-16T00:00:00"/>
        <d v="2026-03-30T00:00:00"/>
        <d v="2026-01-12T00:00:00"/>
        <d v="2026-03-13T00:00:00"/>
        <d v="2026-05-16T00:00:00"/>
        <d v="2026-05-28T00:00:00"/>
        <d v="2026-09-30T00:00:00"/>
        <d v="2026-02-10T00:00:00"/>
        <d v="2026-06-11T00:00:00"/>
        <d v="2026-05-06T00:00:00"/>
        <d v="2026-02-02T00:00:00"/>
        <d v="2026-03-01T00:00:00"/>
        <d v="2026-05-26T00:00:00"/>
        <d v="2026-06-06T00:00:00"/>
        <d v="2026-01-15T00:00:00"/>
        <d v="2026-02-17T00:00:00"/>
        <d v="2026-02-20T00:00:00"/>
        <d v="2026-02-24T00:00:00"/>
        <d v="2026-02-27T00:00:00"/>
        <d v="2026-03-04T00:00:00"/>
        <d v="2026-03-06T00:00:00"/>
        <d v="2026-03-14T00:00:00"/>
        <d v="2026-03-17T00:00:00"/>
        <d v="2026-03-22T00:00:00"/>
        <d v="2026-03-25T00:00:00"/>
        <d v="2026-03-26T00:00:00"/>
        <d v="2026-03-31T00:00:00"/>
        <d v="2026-04-01T00:00:00"/>
        <d v="2026-04-06T00:00:00"/>
        <d v="2026-04-08T00:00:00"/>
        <d v="2026-04-09T00:00:00"/>
        <d v="2026-04-13T00:00:00"/>
        <d v="2026-04-15T00:00:00"/>
        <d v="2026-04-17T00:00:00"/>
        <d v="2026-05-01T00:00:00"/>
        <d v="2026-05-05T00:00:00"/>
        <d v="2026-04-22T00:00:00"/>
        <d v="2026-04-24T00:00:00"/>
        <d v="2026-05-15T00:00:00"/>
        <d v="2026-05-19T00:00:00"/>
        <d v="2026-05-22T00:00:00"/>
        <d v="2026-05-08T00:00:00"/>
        <d v="2026-05-20T00:00:00"/>
        <d v="2026-06-12T00:00:00"/>
        <d v="2026-02-16T00:00:00"/>
        <d v="2026-02-28T00:00:00"/>
        <d v="2026-03-07T00:00:00"/>
        <d v="2026-03-20T00:00:00"/>
        <d v="2026-04-02T00:00:00"/>
        <d v="2026-02-04T00:00:00"/>
        <d v="2026-01-01T00:00:00"/>
        <d v="2026-03-28T00:00:00"/>
        <d v="2026-04-04T00:00:00"/>
        <d v="2026-04-23T00:00:00"/>
        <d v="2026-05-29T00:00:00"/>
        <d v="2026-06-15T00:00:00"/>
        <d v="2026-07-15T00:00:00"/>
        <d v="2026-05-25T00:00:00"/>
        <d v="2026-08-20T00:00:00"/>
        <d v="2026-06-05T00:00:00" u="1"/>
        <d v="2026-07-01T00:00:00" u="1"/>
        <d v="2026-06-20T00:00:00" u="1"/>
        <d v="2026-07-20T00:00:00" u="1"/>
        <d v="2026-07-10T00:00:00" u="1"/>
        <d v="2026-06-10T00:00:00" u="1"/>
        <d v="2026-05-21T00:00:00" u="1"/>
        <d v="2026-05-18T00:00:00" u="1"/>
        <d v="2026-06-01T00:00:00" u="1"/>
        <d v="2026-03-12T00:00:00" u="1"/>
        <d v="2026-03-15T00:00:00" u="1"/>
        <d v="2026-04-20T00:00:00" u="1"/>
        <d v="2026-04-25T00:00:00" u="1"/>
        <d v="2026-05-12T00:00:00" u="1"/>
        <d v="2026-04-28T00:00:00" u="1"/>
        <d v="2026-04-10T00:00:00" u="1"/>
        <d v="2026-04-18T00:00:00" u="1"/>
        <d v="2026-04-21T00:00:00" u="1"/>
        <d v="2026-04-14T00:00:00" u="1"/>
        <d v="2026-04-07T00:00:00" u="1"/>
        <d v="2026-04-03T00:00:00" u="1"/>
        <d v="2026-03-24T00:00:00" u="1"/>
        <d v="2026-03-10T00:00:00" u="1"/>
      </sharedItems>
      <fieldGroup par="20"/>
    </cacheField>
    <cacheField name="Mes" numFmtId="0">
      <sharedItems count="9">
        <s v="febrero"/>
        <s v="marzo"/>
        <s v="mayo"/>
        <s v="abril"/>
        <s v="enero"/>
        <s v="septiembre"/>
        <s v="junio"/>
        <s v="julio"/>
        <s v="agosto"/>
      </sharedItems>
    </cacheField>
    <cacheField name="Estado" numFmtId="0">
      <sharedItems containsBlank="1" count="3">
        <s v="Cumplido"/>
        <s v="Pendiente"/>
        <m u="1"/>
      </sharedItems>
    </cacheField>
    <cacheField name="Observación" numFmtId="0">
      <sharedItems containsBlank="1"/>
    </cacheField>
    <cacheField name="Pedido" numFmtId="0">
      <sharedItems containsString="0" containsBlank="1" containsNumber="1" containsInteger="1" minValue="2" maxValue="4"/>
    </cacheField>
    <cacheField name="Entrega" numFmtId="0">
      <sharedItems containsString="0" containsBlank="1" containsNumber="1" containsInteger="1" minValue="1" maxValue="22"/>
    </cacheField>
    <cacheField name="Factura/Remito" numFmtId="0">
      <sharedItems containsBlank="1"/>
    </cacheField>
    <cacheField name="Días (Fecha Entrega)" numFmtId="0" databaseField="0">
      <fieldGroup base="12">
        <rangePr groupBy="days" startDate="2026-01-01T00:00:00" endDate="2026-10-01T00:00:00"/>
        <groupItems count="368">
          <s v="&lt;1/1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10/2026"/>
        </groupItems>
      </fieldGroup>
    </cacheField>
    <cacheField name="Meses (Fecha Entrega)" numFmtId="0" databaseField="0">
      <fieldGroup base="12">
        <rangePr groupBy="months" startDate="2026-01-01T00:00:00" endDate="2026-10-01T00:00:00"/>
        <groupItems count="14">
          <s v="&lt;1/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10/2026"/>
        </groupItems>
      </fieldGroup>
    </cacheField>
  </cacheFields>
  <extLst>
    <ext xmlns:x14="http://schemas.microsoft.com/office/spreadsheetml/2009/9/main" uri="{725AE2AE-9491-48be-B2B4-4EB974FC3084}">
      <x14:pivotCacheDefinition pivotCacheId="19942886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s v="Planta"/>
    <d v="2026-01-19T00:00:00"/>
    <s v="PRODUCTOS QUIMICOS"/>
    <n v="7350"/>
    <x v="0"/>
    <x v="0"/>
    <s v="Sabatini Daniel"/>
    <x v="0"/>
    <x v="0"/>
    <x v="0"/>
    <n v="1.6"/>
    <n v="11760"/>
    <x v="0"/>
    <x v="0"/>
    <x v="0"/>
    <m/>
    <n v="4"/>
    <n v="7"/>
    <m/>
  </r>
  <r>
    <s v="Planta"/>
    <d v="2026-01-19T00:00:00"/>
    <s v="PRODUCTOS QUIMICOS"/>
    <n v="300"/>
    <x v="0"/>
    <x v="0"/>
    <s v="Proquimica"/>
    <x v="0"/>
    <x v="0"/>
    <x v="0"/>
    <n v="1.6"/>
    <n v="480"/>
    <x v="1"/>
    <x v="0"/>
    <x v="0"/>
    <m/>
    <m/>
    <m/>
    <m/>
  </r>
  <r>
    <s v="Planta"/>
    <d v="2026-01-19T00:00:00"/>
    <s v="PRODUCTOS QUIMICOS"/>
    <n v="1020"/>
    <x v="0"/>
    <x v="0"/>
    <s v="Quimica Mega"/>
    <x v="0"/>
    <x v="0"/>
    <x v="0"/>
    <n v="1.6"/>
    <n v="1632"/>
    <x v="0"/>
    <x v="0"/>
    <x v="0"/>
    <m/>
    <m/>
    <m/>
    <m/>
  </r>
  <r>
    <s v="Planta"/>
    <d v="2026-01-19T00:00:00"/>
    <s v="PRODUCTOS QUIMICOS"/>
    <n v="6000"/>
    <x v="0"/>
    <x v="0"/>
    <s v="Sabatini Daniel"/>
    <x v="0"/>
    <x v="0"/>
    <x v="0"/>
    <n v="1.6"/>
    <n v="9600"/>
    <x v="2"/>
    <x v="1"/>
    <x v="0"/>
    <m/>
    <n v="4"/>
    <n v="8"/>
    <m/>
  </r>
  <r>
    <s v="Planta"/>
    <d v="2026-01-19T00:00:00"/>
    <s v="PRODUCTOS QUIMICOS"/>
    <n v="6000"/>
    <x v="0"/>
    <x v="0"/>
    <s v="Quimica Mega"/>
    <x v="0"/>
    <x v="0"/>
    <x v="0"/>
    <n v="1.6"/>
    <n v="9600"/>
    <x v="3"/>
    <x v="1"/>
    <x v="0"/>
    <s v="R-1-139992"/>
    <n v="4"/>
    <n v="11"/>
    <m/>
  </r>
  <r>
    <m/>
    <d v="2026-01-19T00:00:00"/>
    <s v="PRODUCTOS QUIMICOS"/>
    <n v="6000"/>
    <x v="0"/>
    <x v="0"/>
    <s v="Quimica Mega"/>
    <x v="0"/>
    <x v="0"/>
    <x v="0"/>
    <n v="1.6"/>
    <n v="9600"/>
    <x v="4"/>
    <x v="2"/>
    <x v="0"/>
    <s v="R-1-140224"/>
    <m/>
    <m/>
    <m/>
  </r>
  <r>
    <s v="Planta"/>
    <d v="2026-04-14T00:00:00"/>
    <s v="PRODUCTOS QUIMICOS"/>
    <n v="4800"/>
    <x v="0"/>
    <x v="0"/>
    <s v="Quimica Mega"/>
    <x v="0"/>
    <x v="0"/>
    <x v="0"/>
    <n v="1.6"/>
    <n v="7680"/>
    <x v="5"/>
    <x v="3"/>
    <x v="0"/>
    <s v="R-1-140116"/>
    <m/>
    <m/>
    <m/>
  </r>
  <r>
    <s v="Planta"/>
    <d v="2026-01-19T00:00:00"/>
    <s v="PRODUCTOS QUIMICOS"/>
    <n v="200"/>
    <x v="0"/>
    <x v="1"/>
    <m/>
    <x v="0"/>
    <x v="0"/>
    <x v="1"/>
    <n v="4.0999999999999996"/>
    <n v="819.99999999999989"/>
    <x v="2"/>
    <x v="1"/>
    <x v="0"/>
    <m/>
    <n v="4"/>
    <n v="7"/>
    <m/>
  </r>
  <r>
    <s v="Planta"/>
    <d v="2026-01-19T00:00:00"/>
    <s v="PRODUCTOS QUIMICOS"/>
    <n v="1500"/>
    <x v="0"/>
    <x v="2"/>
    <m/>
    <x v="0"/>
    <x v="0"/>
    <x v="2"/>
    <n v="1.55"/>
    <n v="2325"/>
    <x v="2"/>
    <x v="1"/>
    <x v="0"/>
    <m/>
    <n v="4"/>
    <n v="7"/>
    <m/>
  </r>
  <r>
    <s v="Planta"/>
    <d v="2026-01-19T00:00:00"/>
    <s v="PRODUCTOS QUIMICOS"/>
    <n v="1500"/>
    <x v="0"/>
    <x v="2"/>
    <s v="Quimica Mega"/>
    <x v="0"/>
    <x v="0"/>
    <x v="2"/>
    <n v="1.55"/>
    <n v="2325"/>
    <x v="6"/>
    <x v="1"/>
    <x v="0"/>
    <s v="R-1-139992"/>
    <n v="4"/>
    <n v="11"/>
    <m/>
  </r>
  <r>
    <s v="Planta"/>
    <d v="2026-01-19T00:00:00"/>
    <s v="PRODUCTOS QUIMICOS"/>
    <n v="10000"/>
    <x v="0"/>
    <x v="3"/>
    <s v="Sabatini Daniel"/>
    <x v="0"/>
    <x v="0"/>
    <x v="3"/>
    <n v="0.34"/>
    <n v="3400.0000000000005"/>
    <x v="0"/>
    <x v="0"/>
    <x v="0"/>
    <m/>
    <n v="4"/>
    <n v="7"/>
    <m/>
  </r>
  <r>
    <s v="Planta"/>
    <d v="2026-01-19T00:00:00"/>
    <s v="PRODUCTOS QUIMICOS"/>
    <n v="7000"/>
    <x v="0"/>
    <x v="3"/>
    <s v="Sabatini Daniel"/>
    <x v="0"/>
    <x v="0"/>
    <x v="3"/>
    <n v="0.34"/>
    <n v="2380"/>
    <x v="7"/>
    <x v="4"/>
    <x v="0"/>
    <m/>
    <n v="4"/>
    <n v="3"/>
    <s v="A-2-29299"/>
  </r>
  <r>
    <s v="Planta"/>
    <d v="2026-01-19T00:00:00"/>
    <s v="PRODUCTOS QUIMICOS"/>
    <n v="2000"/>
    <x v="0"/>
    <x v="3"/>
    <s v="Sabatini Daniel"/>
    <x v="0"/>
    <x v="0"/>
    <x v="3"/>
    <n v="0.34"/>
    <n v="680"/>
    <x v="8"/>
    <x v="1"/>
    <x v="0"/>
    <m/>
    <n v="4"/>
    <n v="7"/>
    <m/>
  </r>
  <r>
    <s v="Planta"/>
    <d v="2026-01-19T00:00:00"/>
    <s v="PRODUCTOS QUIMICOS"/>
    <n v="8000"/>
    <x v="0"/>
    <x v="3"/>
    <s v="Cloro Mendoza"/>
    <x v="0"/>
    <x v="0"/>
    <x v="3"/>
    <n v="0.34"/>
    <n v="2720"/>
    <x v="6"/>
    <x v="1"/>
    <x v="0"/>
    <s v="R-8-5327"/>
    <n v="4"/>
    <n v="11"/>
    <m/>
  </r>
  <r>
    <s v="Planta"/>
    <d v="2026-01-19T00:00:00"/>
    <s v="PRODUCTOS QUIMICOS"/>
    <n v="4000"/>
    <x v="0"/>
    <x v="3"/>
    <s v="Cloro Mendoza"/>
    <x v="0"/>
    <x v="0"/>
    <x v="3"/>
    <n v="0.34"/>
    <n v="1360"/>
    <x v="6"/>
    <x v="1"/>
    <x v="0"/>
    <s v="R-8-5327"/>
    <n v="4"/>
    <n v="15"/>
    <m/>
  </r>
  <r>
    <s v="Planta"/>
    <d v="2026-04-14T00:00:00"/>
    <s v="PRODUCTOS QUIMICOS"/>
    <n v="12000"/>
    <x v="0"/>
    <x v="3"/>
    <s v="Cloro Mendoza"/>
    <x v="0"/>
    <x v="0"/>
    <x v="3"/>
    <n v="0.34"/>
    <n v="4080.0000000000005"/>
    <x v="5"/>
    <x v="3"/>
    <x v="0"/>
    <s v="R-8-5428"/>
    <m/>
    <m/>
    <m/>
  </r>
  <r>
    <s v="Planta"/>
    <d v="2026-04-15T00:00:00"/>
    <s v="PRODUCTOS QUIMICOS"/>
    <n v="1200"/>
    <x v="0"/>
    <x v="3"/>
    <s v="Proquimica"/>
    <x v="0"/>
    <x v="0"/>
    <x v="3"/>
    <n v="0.34"/>
    <n v="408.00000000000006"/>
    <x v="9"/>
    <x v="2"/>
    <x v="0"/>
    <s v="R-1-404"/>
    <m/>
    <m/>
    <m/>
  </r>
  <r>
    <s v="Planta"/>
    <d v="2026-04-16T00:00:00"/>
    <s v="PRODUCTOS QUIMICOS"/>
    <n v="1200"/>
    <x v="0"/>
    <x v="3"/>
    <s v="Proquimica"/>
    <x v="0"/>
    <x v="0"/>
    <x v="3"/>
    <n v="0.34"/>
    <n v="408.00000000000006"/>
    <x v="10"/>
    <x v="2"/>
    <x v="0"/>
    <s v="R-1-415"/>
    <m/>
    <m/>
    <m/>
  </r>
  <r>
    <s v="Planta"/>
    <d v="2026-04-17T00:00:00"/>
    <s v="PRODUCTOS QUIMICOS"/>
    <n v="500"/>
    <x v="0"/>
    <x v="3"/>
    <s v="Proquimica"/>
    <x v="0"/>
    <x v="0"/>
    <x v="3"/>
    <n v="0.34"/>
    <n v="170"/>
    <x v="11"/>
    <x v="5"/>
    <x v="1"/>
    <m/>
    <m/>
    <m/>
    <m/>
  </r>
  <r>
    <s v="Planta"/>
    <d v="2026-01-19T00:00:00"/>
    <s v="PRODUCTOS QUIMICOS"/>
    <n v="5000"/>
    <x v="0"/>
    <x v="4"/>
    <s v="Sabatini Daniel"/>
    <x v="0"/>
    <x v="0"/>
    <x v="4"/>
    <n v="2.4500000000000002"/>
    <n v="12250"/>
    <x v="12"/>
    <x v="0"/>
    <x v="0"/>
    <m/>
    <n v="4"/>
    <n v="7"/>
    <m/>
  </r>
  <r>
    <s v="Planta"/>
    <d v="2026-01-19T00:00:00"/>
    <s v="PRODUCTOS QUIMICOS"/>
    <n v="1000"/>
    <x v="0"/>
    <x v="4"/>
    <s v="Quimica Mega"/>
    <x v="0"/>
    <x v="0"/>
    <x v="4"/>
    <n v="2.4500000000000002"/>
    <n v="2450"/>
    <x v="6"/>
    <x v="1"/>
    <x v="0"/>
    <s v="R-1-139992"/>
    <n v="4"/>
    <n v="11"/>
    <m/>
  </r>
  <r>
    <s v="Planta"/>
    <d v="2026-01-22T00:00:00"/>
    <s v="PRODUCTOS QUIMICOS"/>
    <n v="1000"/>
    <x v="0"/>
    <x v="5"/>
    <s v="DSI"/>
    <x v="1"/>
    <x v="0"/>
    <x v="5"/>
    <n v="12.7"/>
    <n v="12700"/>
    <x v="13"/>
    <x v="6"/>
    <x v="0"/>
    <s v="R-19-1395"/>
    <n v="4"/>
    <n v="7"/>
    <m/>
  </r>
  <r>
    <s v="Planta"/>
    <d v="2023-01-22T00:00:00"/>
    <s v="PRODUCTOS QUIMICOS"/>
    <n v="500"/>
    <x v="0"/>
    <x v="6"/>
    <m/>
    <x v="1"/>
    <x v="0"/>
    <x v="6"/>
    <n v="2.8"/>
    <n v="1400"/>
    <x v="2"/>
    <x v="1"/>
    <x v="0"/>
    <m/>
    <n v="4"/>
    <n v="10"/>
    <m/>
  </r>
  <r>
    <s v="Planta"/>
    <d v="2023-01-22T00:00:00"/>
    <s v="PRODUCTOS QUIMICOS"/>
    <n v="400"/>
    <x v="0"/>
    <x v="6"/>
    <s v="Quimica Mega"/>
    <x v="1"/>
    <x v="0"/>
    <x v="6"/>
    <n v="2.8"/>
    <n v="1120"/>
    <x v="5"/>
    <x v="3"/>
    <x v="0"/>
    <s v="R-1-140116"/>
    <m/>
    <m/>
    <m/>
  </r>
  <r>
    <s v="Planta"/>
    <d v="2023-01-22T00:00:00"/>
    <s v="PRODUCTOS QUIMICOS"/>
    <n v="1500"/>
    <x v="0"/>
    <x v="6"/>
    <s v="Quimica Mega"/>
    <x v="1"/>
    <x v="0"/>
    <x v="6"/>
    <n v="2.8"/>
    <n v="4200"/>
    <x v="14"/>
    <x v="2"/>
    <x v="0"/>
    <s v="R-1-140042"/>
    <m/>
    <m/>
    <m/>
  </r>
  <r>
    <s v="Planta"/>
    <d v="2026-01-22T00:00:00"/>
    <s v="PRODUCTOS QUIMICOS"/>
    <n v="3750"/>
    <x v="0"/>
    <x v="7"/>
    <m/>
    <x v="1"/>
    <x v="0"/>
    <x v="7"/>
    <n v="0.85"/>
    <n v="3187.5"/>
    <x v="0"/>
    <x v="0"/>
    <x v="0"/>
    <m/>
    <n v="4"/>
    <n v="7"/>
    <m/>
  </r>
  <r>
    <s v="Planta"/>
    <d v="2026-01-22T00:00:00"/>
    <s v="PRODUCTOS QUIMICOS"/>
    <n v="500"/>
    <x v="0"/>
    <x v="7"/>
    <s v="Proquimica"/>
    <x v="1"/>
    <x v="0"/>
    <x v="7"/>
    <n v="0.85"/>
    <n v="425"/>
    <x v="15"/>
    <x v="0"/>
    <x v="0"/>
    <m/>
    <m/>
    <m/>
    <m/>
  </r>
  <r>
    <s v="Planta"/>
    <d v="2026-01-22T00:00:00"/>
    <s v="PRODUCTOS QUIMICOS"/>
    <n v="2500"/>
    <x v="0"/>
    <x v="7"/>
    <m/>
    <x v="1"/>
    <x v="0"/>
    <x v="7"/>
    <n v="0.85"/>
    <n v="2125"/>
    <x v="16"/>
    <x v="1"/>
    <x v="0"/>
    <m/>
    <n v="4"/>
    <n v="10"/>
    <m/>
  </r>
  <r>
    <s v="Planta"/>
    <d v="2026-01-22T00:00:00"/>
    <s v="PRODUCTOS QUIMICOS"/>
    <n v="500"/>
    <x v="0"/>
    <x v="7"/>
    <s v="Quimica Mega"/>
    <x v="1"/>
    <x v="0"/>
    <x v="7"/>
    <n v="0.85"/>
    <n v="425"/>
    <x v="5"/>
    <x v="3"/>
    <x v="0"/>
    <s v="R-1-140116"/>
    <m/>
    <m/>
    <m/>
  </r>
  <r>
    <s v="Planta"/>
    <d v="2026-01-22T00:00:00"/>
    <s v="PRODUCTOS QUIMICOS"/>
    <n v="1000"/>
    <x v="0"/>
    <x v="7"/>
    <s v="Proquimica"/>
    <x v="1"/>
    <x v="0"/>
    <x v="7"/>
    <n v="0.85"/>
    <n v="850"/>
    <x v="17"/>
    <x v="2"/>
    <x v="0"/>
    <s v="R-1-410"/>
    <n v="4"/>
    <n v="14"/>
    <m/>
  </r>
  <r>
    <s v="Planta"/>
    <d v="2026-01-23T00:00:00"/>
    <s v="PRODUCTOS QUIMICOS"/>
    <n v="1000"/>
    <x v="0"/>
    <x v="7"/>
    <s v="Proquimica"/>
    <x v="1"/>
    <x v="0"/>
    <x v="7"/>
    <n v="0.85"/>
    <n v="850"/>
    <x v="18"/>
    <x v="6"/>
    <x v="0"/>
    <s v="R-1-420"/>
    <m/>
    <m/>
    <m/>
  </r>
  <r>
    <s v="Planta"/>
    <d v="2026-01-24T00:00:00"/>
    <s v="PRODUCTOS QUIMICOS"/>
    <n v="3000"/>
    <x v="0"/>
    <x v="7"/>
    <s v="Quimica Mega"/>
    <x v="1"/>
    <x v="0"/>
    <x v="7"/>
    <n v="0.85"/>
    <n v="2550"/>
    <x v="13"/>
    <x v="6"/>
    <x v="0"/>
    <s v="R-1-140397"/>
    <m/>
    <m/>
    <m/>
  </r>
  <r>
    <s v="Planta"/>
    <d v="2026-01-07T00:00:00"/>
    <s v="PRODUCTOS QUIMICOS"/>
    <n v="36.03"/>
    <x v="1"/>
    <x v="8"/>
    <s v="La Industrial Salinera"/>
    <x v="0"/>
    <x v="1"/>
    <x v="8"/>
    <n v="65.798045602605868"/>
    <n v="2370.7035830618893"/>
    <x v="19"/>
    <x v="4"/>
    <x v="0"/>
    <m/>
    <n v="2"/>
    <n v="3"/>
    <m/>
  </r>
  <r>
    <s v="Planta"/>
    <d v="2026-01-07T00:00:00"/>
    <s v="PRODUCTOS QUIMICOS"/>
    <n v="36.03"/>
    <x v="1"/>
    <x v="8"/>
    <s v="La Industrial Salinera"/>
    <x v="0"/>
    <x v="1"/>
    <x v="8"/>
    <n v="65.798045602605868"/>
    <n v="2370.7035830618893"/>
    <x v="19"/>
    <x v="4"/>
    <x v="0"/>
    <m/>
    <n v="2"/>
    <n v="3"/>
    <m/>
  </r>
  <r>
    <s v="Planta"/>
    <d v="2026-01-20T00:00:00"/>
    <s v="PRODUCTOS QUIMICOS"/>
    <n v="36.78"/>
    <x v="1"/>
    <x v="8"/>
    <s v="La Industrial Salinera"/>
    <x v="0"/>
    <x v="1"/>
    <x v="8"/>
    <n v="65.798045602605868"/>
    <n v="2420.0521172638437"/>
    <x v="12"/>
    <x v="0"/>
    <x v="0"/>
    <m/>
    <n v="4"/>
    <n v="7"/>
    <m/>
  </r>
  <r>
    <s v="Planta"/>
    <d v="2026-01-20T00:00:00"/>
    <s v="PRODUCTOS QUIMICOS"/>
    <n v="36.78"/>
    <x v="1"/>
    <x v="8"/>
    <s v="La Industrial Salinera"/>
    <x v="0"/>
    <x v="1"/>
    <x v="8"/>
    <n v="65.798045602605868"/>
    <n v="2420.0521172638437"/>
    <x v="0"/>
    <x v="0"/>
    <x v="0"/>
    <m/>
    <n v="4"/>
    <n v="7"/>
    <m/>
  </r>
  <r>
    <s v="Planta"/>
    <d v="2026-01-20T00:00:00"/>
    <s v="PRODUCTOS QUIMICOS"/>
    <n v="26.54"/>
    <x v="1"/>
    <x v="8"/>
    <s v="La Industrial Salinera"/>
    <x v="0"/>
    <x v="1"/>
    <x v="8"/>
    <n v="65.798045602605868"/>
    <n v="1746.2801302931596"/>
    <x v="20"/>
    <x v="0"/>
    <x v="0"/>
    <m/>
    <n v="4"/>
    <n v="8"/>
    <m/>
  </r>
  <r>
    <s v="Planta"/>
    <d v="2026-01-20T00:00:00"/>
    <s v="PRODUCTOS QUIMICOS"/>
    <n v="33.200000000000003"/>
    <x v="1"/>
    <x v="8"/>
    <s v="La Industrial Salinera"/>
    <x v="0"/>
    <x v="1"/>
    <x v="8"/>
    <n v="65.798045602605868"/>
    <n v="2184.495114006515"/>
    <x v="21"/>
    <x v="0"/>
    <x v="0"/>
    <m/>
    <n v="4"/>
    <n v="8"/>
    <m/>
  </r>
  <r>
    <s v="Planta"/>
    <d v="2026-01-20T00:00:00"/>
    <s v="PRODUCTOS QUIMICOS"/>
    <n v="34.200000000000003"/>
    <x v="1"/>
    <x v="8"/>
    <s v="La Industrial Salinera"/>
    <x v="0"/>
    <x v="1"/>
    <x v="8"/>
    <n v="65.798045602605868"/>
    <n v="2250.2931596091207"/>
    <x v="22"/>
    <x v="0"/>
    <x v="0"/>
    <m/>
    <n v="4"/>
    <n v="9"/>
    <m/>
  </r>
  <r>
    <s v="Planta"/>
    <d v="2026-01-20T00:00:00"/>
    <s v="PRODUCTOS QUIMICOS"/>
    <n v="35.880000000000003"/>
    <x v="1"/>
    <x v="8"/>
    <s v="La Industrial Salinera"/>
    <x v="0"/>
    <x v="1"/>
    <x v="8"/>
    <n v="65.798045602605868"/>
    <n v="2360.8338762214985"/>
    <x v="23"/>
    <x v="0"/>
    <x v="0"/>
    <m/>
    <n v="4"/>
    <n v="9"/>
    <m/>
  </r>
  <r>
    <s v="Planta"/>
    <d v="2026-01-20T00:00:00"/>
    <s v="PRODUCTOS QUIMICOS"/>
    <n v="34.299999999999997"/>
    <x v="1"/>
    <x v="8"/>
    <s v="La Industrial Salinera"/>
    <x v="0"/>
    <x v="1"/>
    <x v="8"/>
    <n v="65.798045602605868"/>
    <n v="2256.8729641693812"/>
    <x v="24"/>
    <x v="1"/>
    <x v="0"/>
    <m/>
    <n v="4"/>
    <n v="10"/>
    <m/>
  </r>
  <r>
    <s v="Planta"/>
    <d v="2026-01-20T00:00:00"/>
    <s v="PRODUCTOS QUIMICOS"/>
    <n v="39.299999999999997"/>
    <x v="1"/>
    <x v="8"/>
    <s v="La Industrial Salinera"/>
    <x v="0"/>
    <x v="1"/>
    <x v="8"/>
    <n v="65.798045602605868"/>
    <n v="2585.8631921824103"/>
    <x v="25"/>
    <x v="1"/>
    <x v="0"/>
    <m/>
    <n v="4"/>
    <n v="10"/>
    <m/>
  </r>
  <r>
    <s v="Planta"/>
    <d v="2026-01-20T00:00:00"/>
    <s v="PRODUCTOS QUIMICOS"/>
    <n v="27.96"/>
    <x v="1"/>
    <x v="8"/>
    <s v="La Industrial Salinera"/>
    <x v="0"/>
    <x v="1"/>
    <x v="8"/>
    <n v="65.798045602605868"/>
    <n v="1839.7133550488602"/>
    <x v="8"/>
    <x v="1"/>
    <x v="0"/>
    <m/>
    <n v="4"/>
    <n v="11"/>
    <m/>
  </r>
  <r>
    <s v="Planta"/>
    <d v="2026-01-20T00:00:00"/>
    <s v="PRODUCTOS QUIMICOS"/>
    <n v="30.58"/>
    <x v="1"/>
    <x v="8"/>
    <s v="La Industrial Salinera"/>
    <x v="0"/>
    <x v="1"/>
    <x v="8"/>
    <n v="65.798045602605868"/>
    <n v="2012.1042345276874"/>
    <x v="26"/>
    <x v="1"/>
    <x v="0"/>
    <m/>
    <n v="4"/>
    <n v="11"/>
    <m/>
  </r>
  <r>
    <s v="Planta"/>
    <d v="2026-01-20T00:00:00"/>
    <s v="PRODUCTOS QUIMICOS"/>
    <n v="31.62"/>
    <x v="1"/>
    <x v="8"/>
    <s v="La Industrial Salinera"/>
    <x v="0"/>
    <x v="1"/>
    <x v="8"/>
    <n v="65.798045602605868"/>
    <n v="2080.5342019543978"/>
    <x v="27"/>
    <x v="1"/>
    <x v="0"/>
    <s v="R-1-40883"/>
    <n v="4"/>
    <n v="12"/>
    <m/>
  </r>
  <r>
    <s v="Planta"/>
    <d v="2026-01-20T00:00:00"/>
    <s v="PRODUCTOS QUIMICOS"/>
    <n v="28"/>
    <x v="1"/>
    <x v="8"/>
    <s v="La Industrial Salinera"/>
    <x v="0"/>
    <x v="1"/>
    <x v="8"/>
    <n v="65.798045602605868"/>
    <n v="1842.3452768729644"/>
    <x v="28"/>
    <x v="1"/>
    <x v="0"/>
    <s v="R-1-40859"/>
    <n v="4"/>
    <n v="12"/>
    <m/>
  </r>
  <r>
    <s v="Planta"/>
    <d v="2026-01-20T00:00:00"/>
    <s v="PRODUCTOS QUIMICOS"/>
    <n v="37.96"/>
    <x v="1"/>
    <x v="8"/>
    <s v="La Industrial Salinera"/>
    <x v="0"/>
    <x v="1"/>
    <x v="8"/>
    <n v="65.798045602605868"/>
    <n v="2497.6938110749188"/>
    <x v="29"/>
    <x v="1"/>
    <x v="0"/>
    <s v="R-1-40971"/>
    <n v="4"/>
    <n v="13"/>
    <m/>
  </r>
  <r>
    <s v="Planta"/>
    <d v="2026-01-20T00:00:00"/>
    <s v="PRODUCTOS QUIMICOS"/>
    <n v="30.16"/>
    <x v="1"/>
    <x v="8"/>
    <s v="La Industrial Salinera"/>
    <x v="0"/>
    <x v="1"/>
    <x v="8"/>
    <n v="65.798045602605868"/>
    <n v="1984.4690553745929"/>
    <x v="3"/>
    <x v="1"/>
    <x v="0"/>
    <s v="R-1-41030"/>
    <n v="4"/>
    <n v="13"/>
    <m/>
  </r>
  <r>
    <s v="Planta"/>
    <d v="2026-01-20T00:00:00"/>
    <s v="PRODUCTOS QUIMICOS"/>
    <n v="31.54"/>
    <x v="1"/>
    <x v="8"/>
    <s v="La Industrial Salinera"/>
    <x v="0"/>
    <x v="1"/>
    <x v="8"/>
    <n v="65.798045602605868"/>
    <n v="2075.2703583061889"/>
    <x v="30"/>
    <x v="1"/>
    <x v="0"/>
    <s v="R-1-40997"/>
    <n v="4"/>
    <n v="14"/>
    <m/>
  </r>
  <r>
    <s v="Planta"/>
    <d v="2026-01-20T00:00:00"/>
    <s v="PRODUCTOS QUIMICOS"/>
    <n v="35.44"/>
    <x v="1"/>
    <x v="8"/>
    <s v="La Industrial Salinera"/>
    <x v="0"/>
    <x v="1"/>
    <x v="8"/>
    <n v="65.798045602605868"/>
    <n v="2331.8827361563517"/>
    <x v="6"/>
    <x v="1"/>
    <x v="0"/>
    <s v="R-1-41041"/>
    <n v="4"/>
    <n v="14"/>
    <m/>
  </r>
  <r>
    <s v="Planta"/>
    <d v="2026-01-20T00:00:00"/>
    <s v="PRODUCTOS QUIMICOS"/>
    <n v="34.1"/>
    <x v="1"/>
    <x v="8"/>
    <s v="La Industrial Salinera"/>
    <x v="0"/>
    <x v="1"/>
    <x v="8"/>
    <n v="65.798045602605868"/>
    <n v="2243.7133550488602"/>
    <x v="31"/>
    <x v="1"/>
    <x v="0"/>
    <s v="R-1-41052"/>
    <n v="4"/>
    <n v="15"/>
    <m/>
  </r>
  <r>
    <s v="Planta"/>
    <d v="2026-01-20T00:00:00"/>
    <s v="PRODUCTOS QUIMICOS"/>
    <n v="36.36"/>
    <x v="1"/>
    <x v="8"/>
    <s v="La Industrial Salinera"/>
    <x v="0"/>
    <x v="1"/>
    <x v="8"/>
    <n v="65.798045602605868"/>
    <n v="2392.4169381107495"/>
    <x v="32"/>
    <x v="3"/>
    <x v="0"/>
    <s v="R-1-41068"/>
    <n v="4"/>
    <n v="15"/>
    <m/>
  </r>
  <r>
    <s v="Planta"/>
    <d v="2026-01-20T00:00:00"/>
    <s v="PRODUCTOS QUIMICOS"/>
    <n v="30"/>
    <x v="1"/>
    <x v="8"/>
    <s v="La Industrial Salinera"/>
    <x v="0"/>
    <x v="1"/>
    <x v="8"/>
    <n v="65.798045602605868"/>
    <n v="1973.9413680781761"/>
    <x v="33"/>
    <x v="3"/>
    <x v="0"/>
    <s v="R-1-41099"/>
    <n v="4"/>
    <n v="16"/>
    <m/>
  </r>
  <r>
    <s v="Planta"/>
    <d v="2026-01-20T00:00:00"/>
    <s v="PRODUCTOS QUIMICOS"/>
    <n v="36.96"/>
    <x v="1"/>
    <x v="8"/>
    <s v="La Industrial Salinera"/>
    <x v="0"/>
    <x v="1"/>
    <x v="8"/>
    <n v="65.798045602605868"/>
    <n v="2431.8957654723131"/>
    <x v="34"/>
    <x v="3"/>
    <x v="0"/>
    <s v="R-1-41130"/>
    <n v="4"/>
    <n v="16"/>
    <m/>
  </r>
  <r>
    <s v="Planta"/>
    <d v="2026-01-20T00:00:00"/>
    <s v="PRODUCTOS QUIMICOS"/>
    <n v="32.42"/>
    <x v="1"/>
    <x v="8"/>
    <s v="La Industrial Salinera"/>
    <x v="0"/>
    <x v="1"/>
    <x v="8"/>
    <n v="65.798045602605868"/>
    <n v="2133.1726384364824"/>
    <x v="35"/>
    <x v="3"/>
    <x v="0"/>
    <s v="R-1-41138"/>
    <n v="4"/>
    <n v="17"/>
    <m/>
  </r>
  <r>
    <s v="Planta"/>
    <d v="2026-01-20T00:00:00"/>
    <s v="PRODUCTOS QUIMICOS"/>
    <n v="33.78"/>
    <x v="1"/>
    <x v="8"/>
    <s v="La Industrial Salinera"/>
    <x v="0"/>
    <x v="1"/>
    <x v="8"/>
    <n v="65.798045602605868"/>
    <n v="2222.6579804560265"/>
    <x v="36"/>
    <x v="3"/>
    <x v="0"/>
    <s v="R-1-41202"/>
    <n v="4"/>
    <n v="17"/>
    <m/>
  </r>
  <r>
    <s v="Planta"/>
    <d v="2026-01-20T00:00:00"/>
    <s v="PRODUCTOS QUIMICOS"/>
    <n v="30.2"/>
    <x v="1"/>
    <x v="8"/>
    <s v="La Industrial Salinera"/>
    <x v="0"/>
    <x v="1"/>
    <x v="8"/>
    <n v="65.798045602605868"/>
    <n v="1987.1009771986971"/>
    <x v="37"/>
    <x v="3"/>
    <x v="0"/>
    <s v="R-1-41223"/>
    <n v="4"/>
    <n v="18"/>
    <m/>
  </r>
  <r>
    <s v="Planta"/>
    <d v="2026-01-20T00:00:00"/>
    <s v="PRODUCTOS QUIMICOS"/>
    <n v="32.32"/>
    <x v="1"/>
    <x v="8"/>
    <s v="La Industrial Salinera"/>
    <x v="0"/>
    <x v="1"/>
    <x v="8"/>
    <n v="65.798045602605868"/>
    <n v="2126.5928338762214"/>
    <x v="38"/>
    <x v="3"/>
    <x v="0"/>
    <s v="R-1-41269"/>
    <n v="4"/>
    <n v="18"/>
    <m/>
  </r>
  <r>
    <s v="Planta"/>
    <d v="2026-01-20T00:00:00"/>
    <s v="PRODUCTOS QUIMICOS"/>
    <n v="32.06"/>
    <x v="1"/>
    <x v="8"/>
    <s v="La Industrial Salinera"/>
    <x v="0"/>
    <x v="1"/>
    <x v="8"/>
    <n v="65.798045602605868"/>
    <n v="2109.4853420195441"/>
    <x v="39"/>
    <x v="2"/>
    <x v="0"/>
    <s v="R-1-41293"/>
    <n v="4"/>
    <n v="19"/>
    <m/>
  </r>
  <r>
    <s v="Planta"/>
    <d v="2026-01-20T00:00:00"/>
    <s v="PRODUCTOS QUIMICOS"/>
    <n v="29.92"/>
    <x v="1"/>
    <x v="8"/>
    <s v="La Industrial Salinera"/>
    <x v="0"/>
    <x v="1"/>
    <x v="8"/>
    <n v="65.798045602605868"/>
    <n v="1968.6775244299677"/>
    <x v="40"/>
    <x v="2"/>
    <x v="0"/>
    <s v="R-1-41309"/>
    <n v="4"/>
    <n v="19"/>
    <m/>
  </r>
  <r>
    <s v="Planta"/>
    <d v="2026-01-20T00:00:00"/>
    <s v="PRODUCTOS QUIMICOS"/>
    <n v="28.14"/>
    <x v="1"/>
    <x v="8"/>
    <s v="La Industrial Salinera"/>
    <x v="0"/>
    <x v="1"/>
    <x v="8"/>
    <n v="65.798045602605868"/>
    <n v="1851.5570032573291"/>
    <x v="41"/>
    <x v="3"/>
    <x v="0"/>
    <s v="R-1-41333"/>
    <n v="4"/>
    <n v="20"/>
    <m/>
  </r>
  <r>
    <s v="Planta"/>
    <d v="2026-01-20T00:00:00"/>
    <s v="PRODUCTOS QUIMICOS"/>
    <n v="28.8"/>
    <x v="1"/>
    <x v="8"/>
    <s v="La Industrial Salinera"/>
    <x v="0"/>
    <x v="1"/>
    <x v="8"/>
    <n v="65.798045602605868"/>
    <n v="1894.9837133550491"/>
    <x v="42"/>
    <x v="3"/>
    <x v="0"/>
    <s v="R-1-41360"/>
    <n v="4"/>
    <n v="20"/>
    <m/>
  </r>
  <r>
    <s v="Planta"/>
    <d v="2026-01-20T00:00:00"/>
    <s v="PRODUCTOS QUIMICOS"/>
    <n v="29.36"/>
    <x v="1"/>
    <x v="8"/>
    <s v="La Industrial Salinera"/>
    <x v="0"/>
    <x v="1"/>
    <x v="8"/>
    <n v="65.798045602605868"/>
    <n v="1931.8306188925083"/>
    <x v="43"/>
    <x v="2"/>
    <x v="0"/>
    <s v="R-1-41379"/>
    <n v="4"/>
    <n v="21"/>
    <m/>
  </r>
  <r>
    <s v="Planta"/>
    <d v="2026-01-20T00:00:00"/>
    <s v="PRODUCTOS QUIMICOS"/>
    <n v="29.66"/>
    <x v="1"/>
    <x v="8"/>
    <s v="La Industrial Salinera"/>
    <x v="0"/>
    <x v="1"/>
    <x v="8"/>
    <n v="65.798045602605868"/>
    <n v="1951.5700325732901"/>
    <x v="44"/>
    <x v="2"/>
    <x v="0"/>
    <s v="R-1-41396"/>
    <n v="4"/>
    <n v="21"/>
    <m/>
  </r>
  <r>
    <s v="Planta"/>
    <d v="2026-01-20T00:00:00"/>
    <s v="PRODUCTOS QUIMICOS"/>
    <n v="31.3"/>
    <x v="1"/>
    <x v="8"/>
    <s v="La Industrial Salinera"/>
    <x v="0"/>
    <x v="1"/>
    <x v="8"/>
    <n v="65.798045602605868"/>
    <n v="2059.4788273615636"/>
    <x v="45"/>
    <x v="2"/>
    <x v="0"/>
    <s v="R-1-41420"/>
    <n v="4"/>
    <n v="22"/>
    <m/>
  </r>
  <r>
    <s v="Planta"/>
    <d v="2026-01-20T00:00:00"/>
    <s v="PRODUCTOS QUIMICOS"/>
    <n v="28.38"/>
    <x v="1"/>
    <x v="8"/>
    <s v="La Industrial Salinera"/>
    <x v="0"/>
    <x v="1"/>
    <x v="8"/>
    <n v="65.798045602605868"/>
    <n v="1867.3485342019544"/>
    <x v="46"/>
    <x v="2"/>
    <x v="0"/>
    <s v="R-1-41479"/>
    <m/>
    <m/>
    <m/>
  </r>
  <r>
    <s v="Planta"/>
    <d v="2026-01-21T00:00:00"/>
    <s v="PRODUCTOS QUIMICOS"/>
    <n v="32.119999999999997"/>
    <x v="1"/>
    <x v="8"/>
    <s v="La Industrial Salinera"/>
    <x v="0"/>
    <x v="1"/>
    <x v="8"/>
    <n v="65.798045602605868"/>
    <n v="2113.4332247557004"/>
    <x v="47"/>
    <x v="2"/>
    <x v="0"/>
    <s v="R-1-41571"/>
    <m/>
    <m/>
    <m/>
  </r>
  <r>
    <s v="Planta"/>
    <d v="2026-01-21T00:00:00"/>
    <s v="PRODUCTOS QUIMICOS"/>
    <n v="29.64"/>
    <x v="1"/>
    <x v="8"/>
    <s v="La Industrial Salinera"/>
    <x v="0"/>
    <x v="1"/>
    <x v="8"/>
    <n v="65.798045602605868"/>
    <n v="1950.254071661238"/>
    <x v="48"/>
    <x v="6"/>
    <x v="0"/>
    <s v="R-1-41752"/>
    <m/>
    <m/>
    <m/>
  </r>
  <r>
    <s v="Planta"/>
    <d v="2026-01-20T00:00:00"/>
    <s v="PRODUCTOS QUIMICOS"/>
    <n v="28.8"/>
    <x v="1"/>
    <x v="9"/>
    <s v="La Industrial Salinera"/>
    <x v="0"/>
    <x v="1"/>
    <x v="9"/>
    <n v="89.576547231270354"/>
    <n v="2579.8045602605862"/>
    <x v="49"/>
    <x v="0"/>
    <x v="0"/>
    <m/>
    <n v="4"/>
    <n v="8"/>
    <m/>
  </r>
  <r>
    <s v="Planta"/>
    <d v="2026-01-20T00:00:00"/>
    <s v="PRODUCTOS QUIMICOS"/>
    <n v="28.28"/>
    <x v="1"/>
    <x v="9"/>
    <s v="La Industrial Salinera"/>
    <x v="0"/>
    <x v="1"/>
    <x v="9"/>
    <n v="89.576547231270354"/>
    <n v="2533.2247557003257"/>
    <x v="50"/>
    <x v="0"/>
    <x v="0"/>
    <m/>
    <n v="4"/>
    <n v="9"/>
    <m/>
  </r>
  <r>
    <s v="Planta"/>
    <d v="2026-01-20T00:00:00"/>
    <s v="PRODUCTOS QUIMICOS"/>
    <n v="28.8"/>
    <x v="1"/>
    <x v="9"/>
    <s v="La Industrial Salinera"/>
    <x v="0"/>
    <x v="1"/>
    <x v="9"/>
    <n v="89.576547231270354"/>
    <n v="2579.8045602605862"/>
    <x v="51"/>
    <x v="1"/>
    <x v="0"/>
    <m/>
    <n v="4"/>
    <n v="12"/>
    <m/>
  </r>
  <r>
    <s v="Planta"/>
    <d v="2026-01-20T00:00:00"/>
    <s v="PRODUCTOS QUIMICOS"/>
    <n v="28.8"/>
    <x v="1"/>
    <x v="9"/>
    <s v="La Industrial Salinera"/>
    <x v="0"/>
    <x v="1"/>
    <x v="9"/>
    <n v="89.576547231270354"/>
    <n v="2579.8045602605862"/>
    <x v="52"/>
    <x v="1"/>
    <x v="0"/>
    <s v="R-1-40923"/>
    <n v="4"/>
    <n v="14"/>
    <m/>
  </r>
  <r>
    <s v="Planta"/>
    <d v="2026-01-20T00:00:00"/>
    <s v="PRODUCTOS QUIMICOS"/>
    <n v="28"/>
    <x v="1"/>
    <x v="9"/>
    <s v="La Industrial Salinera"/>
    <x v="0"/>
    <x v="1"/>
    <x v="9"/>
    <n v="89.576547231270354"/>
    <n v="2508.1433224755701"/>
    <x v="53"/>
    <x v="3"/>
    <x v="0"/>
    <m/>
    <n v="4"/>
    <n v="15"/>
    <m/>
  </r>
  <r>
    <s v="Planta"/>
    <d v="2026-01-20T00:00:00"/>
    <s v="PRODUCTOS QUIMICOS"/>
    <n v="27.6"/>
    <x v="1"/>
    <x v="9"/>
    <s v="La Industrial Salinera"/>
    <x v="0"/>
    <x v="1"/>
    <x v="9"/>
    <n v="89.576547231270354"/>
    <n v="2472.3127035830621"/>
    <x v="38"/>
    <x v="3"/>
    <x v="0"/>
    <s v="R-1-41270"/>
    <n v="4"/>
    <n v="17"/>
    <m/>
  </r>
  <r>
    <s v="Planta"/>
    <d v="2026-01-20T00:00:00"/>
    <s v="PRODUCTOS QUIMICOS"/>
    <n v="14.8"/>
    <x v="1"/>
    <x v="9"/>
    <s v="La Industrial Salinera"/>
    <x v="0"/>
    <x v="1"/>
    <x v="9"/>
    <n v="89.576547231270354"/>
    <n v="1325.7328990228013"/>
    <x v="4"/>
    <x v="2"/>
    <x v="0"/>
    <s v="R-1-41507"/>
    <m/>
    <m/>
    <m/>
  </r>
  <r>
    <s v="Planta"/>
    <d v="2026-01-21T00:00:00"/>
    <s v="PRODUCTOS QUIMICOS"/>
    <n v="14.8"/>
    <x v="1"/>
    <x v="10"/>
    <s v="La Industrial Salinera"/>
    <x v="0"/>
    <x v="1"/>
    <x v="10"/>
    <n v="100.9771986970684"/>
    <n v="1494.4625407166125"/>
    <x v="4"/>
    <x v="2"/>
    <x v="0"/>
    <s v="R-1-41507"/>
    <m/>
    <m/>
    <m/>
  </r>
  <r>
    <s v="Planta"/>
    <d v="2026-01-22T00:00:00"/>
    <s v="PRODUCTOS QUIMICOS"/>
    <n v="1000"/>
    <x v="0"/>
    <x v="11"/>
    <m/>
    <x v="1"/>
    <x v="0"/>
    <x v="11"/>
    <n v="2.95"/>
    <n v="2950"/>
    <x v="0"/>
    <x v="0"/>
    <x v="0"/>
    <m/>
    <n v="4"/>
    <n v="7"/>
    <m/>
  </r>
  <r>
    <s v="Planta"/>
    <d v="2026-01-22T00:00:00"/>
    <s v="PRODUCTOS QUIMICOS"/>
    <n v="1000"/>
    <x v="0"/>
    <x v="11"/>
    <m/>
    <x v="1"/>
    <x v="0"/>
    <x v="11"/>
    <n v="2.95"/>
    <n v="2950"/>
    <x v="0"/>
    <x v="0"/>
    <x v="0"/>
    <m/>
    <n v="4"/>
    <n v="10"/>
    <m/>
  </r>
  <r>
    <s v="Planta"/>
    <d v="2026-01-23T00:00:00"/>
    <s v="PRODUCTOS QUIMICOS"/>
    <n v="100"/>
    <x v="0"/>
    <x v="11"/>
    <s v="DSI"/>
    <x v="1"/>
    <x v="0"/>
    <x v="11"/>
    <n v="2.95"/>
    <n v="295"/>
    <x v="10"/>
    <x v="2"/>
    <x v="0"/>
    <s v="R-17-179"/>
    <m/>
    <m/>
    <m/>
  </r>
  <r>
    <s v="Planta"/>
    <d v="2026-01-22T00:00:00"/>
    <s v="PRODUCTOS QUIMICOS"/>
    <n v="254"/>
    <x v="0"/>
    <x v="12"/>
    <s v="Quiroga"/>
    <x v="1"/>
    <x v="0"/>
    <x v="12"/>
    <n v="2.1156999999999999"/>
    <n v="537.38779999999997"/>
    <x v="54"/>
    <x v="0"/>
    <x v="0"/>
    <m/>
    <m/>
    <m/>
    <m/>
  </r>
  <r>
    <s v="Planta"/>
    <d v="2026-01-22T00:00:00"/>
    <s v="PRODUCTOS QUIMICOS"/>
    <n v="520"/>
    <x v="0"/>
    <x v="12"/>
    <s v="Salazar"/>
    <x v="1"/>
    <x v="0"/>
    <x v="12"/>
    <n v="2.1156999999999999"/>
    <n v="1100.164"/>
    <x v="12"/>
    <x v="0"/>
    <x v="0"/>
    <m/>
    <n v="4"/>
    <n v="7"/>
    <m/>
  </r>
  <r>
    <s v="Planta"/>
    <d v="2026-01-22T00:00:00"/>
    <s v="PRODUCTOS QUIMICOS"/>
    <n v="800"/>
    <x v="0"/>
    <x v="12"/>
    <s v="Salazar"/>
    <x v="1"/>
    <x v="0"/>
    <x v="12"/>
    <n v="2.1156999999999999"/>
    <n v="1692.56"/>
    <x v="52"/>
    <x v="1"/>
    <x v="0"/>
    <s v="R-1-1019"/>
    <n v="4"/>
    <n v="10"/>
    <m/>
  </r>
  <r>
    <s v="Planta"/>
    <d v="2026-01-23T00:00:00"/>
    <s v="PRODUCTOS QUIMICOS"/>
    <n v="1000"/>
    <x v="0"/>
    <x v="12"/>
    <s v="Salazar"/>
    <x v="1"/>
    <x v="0"/>
    <x v="12"/>
    <n v="2.1156999999999999"/>
    <n v="2115.6999999999998"/>
    <x v="43"/>
    <x v="2"/>
    <x v="0"/>
    <m/>
    <m/>
    <m/>
    <m/>
  </r>
  <r>
    <s v="Planta"/>
    <d v="2026-01-19T00:00:00"/>
    <s v="PRODUCTOS QUIMICOS"/>
    <n v="17000"/>
    <x v="0"/>
    <x v="13"/>
    <s v="Laboratorio Quimicos SRL"/>
    <x v="0"/>
    <x v="0"/>
    <x v="13"/>
    <n v="1.2"/>
    <n v="20400"/>
    <x v="19"/>
    <x v="4"/>
    <x v="0"/>
    <m/>
    <n v="4"/>
    <n v="3"/>
    <s v="A-2-7312"/>
  </r>
  <r>
    <s v="Planta"/>
    <d v="2026-01-19T00:00:00"/>
    <s v="PRODUCTOS QUIMICOS"/>
    <n v="20000"/>
    <x v="0"/>
    <x v="13"/>
    <s v="Quimica Mega"/>
    <x v="0"/>
    <x v="0"/>
    <x v="13"/>
    <n v="1.2"/>
    <n v="24000"/>
    <x v="55"/>
    <x v="4"/>
    <x v="0"/>
    <m/>
    <n v="4"/>
    <n v="1"/>
    <s v="A-2-52697"/>
  </r>
  <r>
    <s v="Planta"/>
    <d v="2026-01-20T00:00:00"/>
    <s v="PRODUCTOS QUIMICOS"/>
    <n v="28800"/>
    <x v="0"/>
    <x v="13"/>
    <s v="Quimica Mega"/>
    <x v="0"/>
    <x v="0"/>
    <x v="13"/>
    <n v="1.2"/>
    <n v="34560"/>
    <x v="56"/>
    <x v="1"/>
    <x v="0"/>
    <s v="R-1-140000"/>
    <n v="4"/>
    <n v="9"/>
    <m/>
  </r>
  <r>
    <s v="Planta"/>
    <d v="2026-01-20T00:00:00"/>
    <s v="PRODUCTOS QUIMICOS"/>
    <n v="26500"/>
    <x v="0"/>
    <x v="13"/>
    <s v="Quimica Mega"/>
    <x v="0"/>
    <x v="0"/>
    <x v="13"/>
    <n v="1.2"/>
    <n v="31800"/>
    <x v="57"/>
    <x v="3"/>
    <x v="0"/>
    <s v="R-1-140038"/>
    <n v="4"/>
    <n v="12"/>
    <m/>
  </r>
  <r>
    <s v="Planta"/>
    <d v="2026-04-15T00:00:00"/>
    <s v="PRODUCTOS QUIMICOS"/>
    <n v="10500"/>
    <x v="0"/>
    <x v="13"/>
    <s v="Quimica Mega"/>
    <x v="0"/>
    <x v="0"/>
    <x v="13"/>
    <n v="1.2"/>
    <n v="12600"/>
    <x v="5"/>
    <x v="3"/>
    <x v="0"/>
    <s v="R-1-140116"/>
    <m/>
    <m/>
    <m/>
  </r>
  <r>
    <s v="Planta"/>
    <d v="2026-04-23T00:00:00"/>
    <s v="PRODUCTOS QUIMICOS"/>
    <n v="5000"/>
    <x v="0"/>
    <x v="13"/>
    <s v="Laboratorio Quimicos SRL"/>
    <x v="0"/>
    <x v="0"/>
    <x v="13"/>
    <n v="1.2"/>
    <n v="6000"/>
    <x v="58"/>
    <x v="3"/>
    <x v="0"/>
    <s v="R-1-17884 (para devolución)"/>
    <m/>
    <m/>
    <m/>
  </r>
  <r>
    <s v="Planta"/>
    <d v="2026-05-06T00:00:00"/>
    <s v="PRODUCTOS QUIMICOS"/>
    <n v="1200"/>
    <x v="0"/>
    <x v="13"/>
    <s v="Quimica Mega"/>
    <x v="0"/>
    <x v="0"/>
    <x v="13"/>
    <n v="1.2"/>
    <n v="1440"/>
    <x v="14"/>
    <x v="2"/>
    <x v="0"/>
    <s v="R-1-140042"/>
    <m/>
    <m/>
    <m/>
  </r>
  <r>
    <s v="Planta"/>
    <d v="2026-05-06T00:00:00"/>
    <s v="PRODUCTOS QUIMICOS"/>
    <n v="1200"/>
    <x v="0"/>
    <x v="13"/>
    <s v="Quimica Mega"/>
    <x v="0"/>
    <x v="0"/>
    <x v="13"/>
    <n v="1.2"/>
    <n v="1440"/>
    <x v="14"/>
    <x v="2"/>
    <x v="0"/>
    <s v="R-1-140043"/>
    <m/>
    <m/>
    <m/>
  </r>
  <r>
    <s v="Planta"/>
    <d v="2026-01-20T00:00:00"/>
    <s v="PRODUCTOS QUIMICOS"/>
    <n v="75"/>
    <x v="0"/>
    <x v="14"/>
    <s v="Sabatini Daniel"/>
    <x v="1"/>
    <x v="0"/>
    <x v="14"/>
    <n v="4.5"/>
    <n v="337.5"/>
    <x v="29"/>
    <x v="1"/>
    <x v="0"/>
    <m/>
    <n v="4"/>
    <n v="7"/>
    <m/>
  </r>
  <r>
    <s v="Planta"/>
    <d v="2026-01-20T00:00:00"/>
    <s v="PRODUCTOS QUIMICOS"/>
    <n v="400"/>
    <x v="0"/>
    <x v="14"/>
    <s v="Quimica Mega"/>
    <x v="1"/>
    <x v="0"/>
    <x v="14"/>
    <n v="4.5"/>
    <n v="1800"/>
    <x v="6"/>
    <x v="1"/>
    <x v="0"/>
    <s v="R-1-139980"/>
    <m/>
    <m/>
    <m/>
  </r>
  <r>
    <s v="Planta"/>
    <d v="2026-01-20T00:00:00"/>
    <s v="PRODUCTOS QUIMICOS"/>
    <n v="250"/>
    <x v="0"/>
    <x v="14"/>
    <s v="DSI"/>
    <x v="1"/>
    <x v="0"/>
    <x v="14"/>
    <n v="4.5"/>
    <n v="1125"/>
    <x v="59"/>
    <x v="2"/>
    <x v="0"/>
    <s v="R-17-179"/>
    <m/>
    <m/>
    <m/>
  </r>
  <r>
    <s v="Planta"/>
    <d v="2026-01-20T00:00:00"/>
    <s v="PRODUCTOS QUIMICOS"/>
    <n v="400"/>
    <x v="0"/>
    <x v="14"/>
    <s v="Quimica Mega"/>
    <x v="1"/>
    <x v="0"/>
    <x v="14"/>
    <n v="4.5"/>
    <n v="1800"/>
    <x v="5"/>
    <x v="3"/>
    <x v="0"/>
    <s v="R-1-140116"/>
    <m/>
    <m/>
    <m/>
  </r>
  <r>
    <s v="Planta"/>
    <d v="2026-01-20T00:00:00"/>
    <s v="PRODUCTOS QUIMICOS"/>
    <n v="400"/>
    <x v="0"/>
    <x v="14"/>
    <s v="Quimica Mega"/>
    <x v="1"/>
    <x v="0"/>
    <x v="14"/>
    <n v="4.5"/>
    <n v="1800"/>
    <x v="14"/>
    <x v="2"/>
    <x v="0"/>
    <s v="R-1-140042"/>
    <m/>
    <m/>
    <m/>
  </r>
  <r>
    <s v="Planta"/>
    <d v="2026-01-22T00:00:00"/>
    <s v="PRODUCTOS QUIMICOS"/>
    <n v="335"/>
    <x v="0"/>
    <x v="15"/>
    <s v="Salazar"/>
    <x v="1"/>
    <x v="0"/>
    <x v="15"/>
    <n v="3.15"/>
    <n v="1055.25"/>
    <x v="43"/>
    <x v="2"/>
    <x v="0"/>
    <s v="R-1-1265"/>
    <n v="4"/>
    <n v="7"/>
    <m/>
  </r>
  <r>
    <s v="Planta"/>
    <d v="2026-01-22T00:00:00"/>
    <s v="PRODUCTOS QUIMICOS"/>
    <n v="335"/>
    <x v="0"/>
    <x v="15"/>
    <s v="Salazar"/>
    <x v="1"/>
    <x v="0"/>
    <x v="15"/>
    <n v="3.15"/>
    <n v="1055.25"/>
    <x v="60"/>
    <x v="6"/>
    <x v="0"/>
    <s v="R-1-1265"/>
    <n v="4"/>
    <n v="10"/>
    <m/>
  </r>
  <r>
    <s v="Planta"/>
    <d v="2026-01-22T00:00:00"/>
    <s v="PRODUCTOS QUIMICOS"/>
    <n v="30"/>
    <x v="0"/>
    <x v="15"/>
    <s v="Salazar"/>
    <x v="1"/>
    <x v="0"/>
    <x v="15"/>
    <n v="3.15"/>
    <n v="94.5"/>
    <x v="61"/>
    <x v="7"/>
    <x v="0"/>
    <s v="R-1-1265"/>
    <n v="4"/>
    <n v="14"/>
    <m/>
  </r>
  <r>
    <s v="Planta"/>
    <d v="2026-01-22T00:00:00"/>
    <s v="PRODUCTOS QUIMICOS"/>
    <n v="1000"/>
    <x v="0"/>
    <x v="12"/>
    <s v="Salazar"/>
    <x v="1"/>
    <x v="0"/>
    <x v="12"/>
    <n v="2.1156999999999999"/>
    <n v="2115.6999999999998"/>
    <x v="48"/>
    <x v="6"/>
    <x v="0"/>
    <s v="R-1-1265"/>
    <n v="4"/>
    <n v="14"/>
    <m/>
  </r>
  <r>
    <s v="Planta"/>
    <d v="2026-04-16T00:00:00"/>
    <s v="PRODUCTOS QUIMICOS"/>
    <n v="600"/>
    <x v="0"/>
    <x v="3"/>
    <s v="Proquimica"/>
    <x v="0"/>
    <x v="0"/>
    <x v="3"/>
    <n v="0.34"/>
    <n v="204.00000000000003"/>
    <x v="62"/>
    <x v="2"/>
    <x v="0"/>
    <s v="R-1-512"/>
    <m/>
    <m/>
    <m/>
  </r>
  <r>
    <s v="Planta"/>
    <d v="2026-01-22T00:00:00"/>
    <s v="PRODUCTOS QUIMICOS"/>
    <n v="3000"/>
    <x v="0"/>
    <x v="7"/>
    <m/>
    <x v="1"/>
    <x v="0"/>
    <x v="7"/>
    <n v="0.85"/>
    <n v="2550"/>
    <x v="11"/>
    <x v="5"/>
    <x v="1"/>
    <m/>
    <n v="4"/>
    <n v="18"/>
    <m/>
  </r>
  <r>
    <s v="Planta"/>
    <d v="2026-01-22T00:00:00"/>
    <s v="PRODUCTOS QUIMICOS"/>
    <n v="1000"/>
    <x v="0"/>
    <x v="12"/>
    <m/>
    <x v="1"/>
    <x v="0"/>
    <x v="12"/>
    <n v="2.1156999999999999"/>
    <n v="2115.6999999999998"/>
    <x v="11"/>
    <x v="5"/>
    <x v="1"/>
    <m/>
    <m/>
    <m/>
    <m/>
  </r>
  <r>
    <s v="Planta"/>
    <d v="2026-08-19T00:00:00"/>
    <s v="PRODUCTOS QUIMICOS"/>
    <n v="30.76"/>
    <x v="1"/>
    <x v="8"/>
    <s v="La Industrial Salinera"/>
    <x v="0"/>
    <x v="1"/>
    <x v="8"/>
    <n v="65.798045602605868"/>
    <n v="2023.9478827361565"/>
    <x v="63"/>
    <x v="8"/>
    <x v="0"/>
    <s v="R-1-4225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E0A6B-F6F9-40DC-9E47-D99F5BE06263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4" firstHeaderRow="0" firstDataRow="1" firstDataCol="4"/>
  <pivotFields count="21">
    <pivotField compact="0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axis="axisRow" compact="0" outline="0" showAll="0" defaultSubtotal="0">
      <items count="16">
        <item x="0"/>
        <item x="1"/>
        <item x="2"/>
        <item x="3"/>
        <item x="4"/>
        <item x="15"/>
        <item x="5"/>
        <item x="6"/>
        <item x="7"/>
        <item x="8"/>
        <item x="9"/>
        <item x="11"/>
        <item x="12"/>
        <item x="13"/>
        <item x="14"/>
        <item x="10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  <pivotField compact="0" numFmtId="14" outline="0" showAll="0">
      <items count="88">
        <item x="55"/>
        <item x="7"/>
        <item x="19"/>
        <item x="15"/>
        <item x="54"/>
        <item x="1"/>
        <item x="12"/>
        <item x="0"/>
        <item x="49"/>
        <item x="20"/>
        <item x="21"/>
        <item x="22"/>
        <item x="23"/>
        <item x="50"/>
        <item x="16"/>
        <item x="24"/>
        <item x="25"/>
        <item x="51"/>
        <item m="1" x="86"/>
        <item m="1" x="73"/>
        <item x="8"/>
        <item m="1" x="74"/>
        <item x="27"/>
        <item x="52"/>
        <item m="1" x="85"/>
        <item x="29"/>
        <item x="3"/>
        <item x="6"/>
        <item x="31"/>
        <item x="32"/>
        <item m="1" x="84"/>
        <item m="1" x="83"/>
        <item m="1" x="79"/>
        <item m="1" x="82"/>
        <item x="37"/>
        <item x="38"/>
        <item m="1" x="75"/>
        <item m="1" x="81"/>
        <item x="42"/>
        <item m="1" x="76"/>
        <item m="1" x="78"/>
        <item x="39"/>
        <item x="40"/>
        <item x="46"/>
        <item m="1" x="77"/>
        <item x="43"/>
        <item x="44"/>
        <item x="47"/>
        <item x="45"/>
        <item x="17"/>
        <item m="1" x="72"/>
        <item x="60"/>
        <item m="1" x="66"/>
        <item m="1" x="65"/>
        <item x="2"/>
        <item x="26"/>
        <item x="28"/>
        <item x="30"/>
        <item x="56"/>
        <item x="33"/>
        <item x="53"/>
        <item x="57"/>
        <item x="34"/>
        <item x="35"/>
        <item x="36"/>
        <item m="1" x="80"/>
        <item x="5"/>
        <item x="41"/>
        <item x="58"/>
        <item x="4"/>
        <item x="61"/>
        <item m="1" x="67"/>
        <item x="48"/>
        <item m="1" x="68"/>
        <item x="14"/>
        <item m="1" x="64"/>
        <item x="59"/>
        <item m="1" x="71"/>
        <item x="9"/>
        <item x="10"/>
        <item x="62"/>
        <item m="1" x="70"/>
        <item m="1" x="69"/>
        <item x="18"/>
        <item x="13"/>
        <item x="63"/>
        <item x="11"/>
        <item t="default"/>
      </items>
    </pivotField>
    <pivotField axis="axisRow" compact="0" outline="0" showAll="0" insertBlankRow="1" defaultSubtotal="0">
      <items count="9">
        <item h="1" x="4"/>
        <item h="1" x="0"/>
        <item x="1"/>
        <item x="3"/>
        <item x="2"/>
        <item x="6"/>
        <item x="7"/>
        <item h="1" x="8"/>
        <item h="1" x="5"/>
      </items>
    </pivotField>
    <pivotField axis="axisRow" compact="0" outline="0" showAll="0" defaultSubtotal="0">
      <items count="3">
        <item h="1" x="0"/>
        <item x="1"/>
        <item h="1" m="1" x="2"/>
      </items>
    </pivotField>
    <pivotField compact="0" outline="0" showAll="0"/>
    <pivotField compact="0" outline="0" showAll="0"/>
    <pivotField compact="0" outline="0" showAll="0"/>
    <pivotField compact="0" outline="0" showAll="0"/>
    <pivotField name="(Fecha Entrega)" axis="axisRow"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compact="0" outline="0" showAll="0" sortType="descending">
      <items count="15">
        <item sd="0" x="13"/>
        <item sd="0" x="0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t="default"/>
      </items>
    </pivotField>
  </pivotFields>
  <rowFields count="4">
    <field x="13"/>
    <field x="14"/>
    <field x="5"/>
    <field x="19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3" baseField="0" baseItem="0"/>
    <dataField name="Suma de Total" fld="11" baseField="0" baseItem="0" numFmtId="44"/>
  </dataFields>
  <formats count="3">
    <format dxfId="36">
      <pivotArea outline="0" fieldPosition="0">
        <references count="5">
          <reference field="4294967294" count="1" selected="0">
            <x v="1"/>
          </reference>
          <reference field="5" count="1" selected="0">
            <x v="9"/>
          </reference>
          <reference field="13" count="1" selected="0">
            <x v="2"/>
          </reference>
          <reference field="14" count="0" selected="0"/>
          <reference field="19" count="1" selected="0">
            <x v="77"/>
          </reference>
        </references>
      </pivotArea>
    </format>
    <format dxfId="35">
      <pivotArea outline="0" fieldPosition="0">
        <references count="2">
          <reference field="4294967294" count="1" selected="0">
            <x v="0"/>
          </reference>
          <reference field="13" count="2" selected="0">
            <x v="4"/>
            <x v="5"/>
          </reference>
        </references>
      </pivotArea>
    </format>
    <format dxfId="34">
      <pivotArea outline="0" fieldPosition="0">
        <references count="5">
          <reference field="4294967294" count="1" selected="0">
            <x v="0"/>
          </reference>
          <reference field="5" count="5" selected="0">
            <x v="5"/>
            <x v="6"/>
            <x v="8"/>
            <x v="11"/>
            <x v="12"/>
          </reference>
          <reference field="13" count="1" selected="0">
            <x v="6"/>
          </reference>
          <reference field="14" count="0" selected="0"/>
          <reference field="19" count="4" selected="0">
            <x v="183"/>
            <x v="192"/>
            <x v="197"/>
            <x v="20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F9C9F-74B3-4A59-839B-505AD526C292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E12" firstHeaderRow="0" firstDataRow="1" firstDataCol="3"/>
  <pivotFields count="21">
    <pivotField compact="0" outline="0" showAll="0"/>
    <pivotField compact="0" numFmtId="14" outline="0" showAll="0"/>
    <pivotField compact="0" outline="0" showAll="0"/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m="1" x="2"/>
        <item x="1"/>
      </items>
    </pivotField>
    <pivotField axis="axisRow" compact="0" outline="0" showAll="0" defaultSubtotal="0">
      <items count="16">
        <item x="0"/>
        <item x="1"/>
        <item x="2"/>
        <item x="3"/>
        <item x="4"/>
        <item x="15"/>
        <item x="5"/>
        <item x="6"/>
        <item x="7"/>
        <item x="8"/>
        <item x="9"/>
        <item x="11"/>
        <item x="12"/>
        <item x="13"/>
        <item x="14"/>
        <item x="10"/>
      </items>
    </pivotField>
    <pivotField compact="0" outline="0" showAll="0"/>
    <pivotField axis="axisRow" compact="0" outline="0" showAll="0" insertBlankRow="1">
      <items count="5">
        <item m="1" x="2"/>
        <item x="1"/>
        <item m="1" x="3"/>
        <item x="0"/>
        <item t="default"/>
      </items>
    </pivotField>
    <pivotField compact="0" outline="0" showAll="0"/>
    <pivotField compact="0" outline="0" showAll="0"/>
    <pivotField compact="0" numFmtId="44" outline="0" showAll="0"/>
    <pivotField dataField="1" compact="0" numFmtId="44" outline="0" showAll="0"/>
    <pivotField compact="0" numFmtId="14" outline="0" showAll="0">
      <items count="88">
        <item x="55"/>
        <item x="7"/>
        <item x="19"/>
        <item x="15"/>
        <item x="54"/>
        <item x="1"/>
        <item x="12"/>
        <item x="0"/>
        <item x="49"/>
        <item x="20"/>
        <item x="21"/>
        <item x="22"/>
        <item x="23"/>
        <item x="50"/>
        <item x="16"/>
        <item x="24"/>
        <item x="25"/>
        <item x="51"/>
        <item m="1" x="86"/>
        <item m="1" x="73"/>
        <item x="8"/>
        <item m="1" x="74"/>
        <item x="27"/>
        <item x="52"/>
        <item m="1" x="85"/>
        <item x="29"/>
        <item x="3"/>
        <item x="6"/>
        <item x="31"/>
        <item x="32"/>
        <item m="1" x="84"/>
        <item m="1" x="83"/>
        <item m="1" x="79"/>
        <item m="1" x="82"/>
        <item x="37"/>
        <item x="38"/>
        <item m="1" x="75"/>
        <item m="1" x="81"/>
        <item x="42"/>
        <item m="1" x="76"/>
        <item m="1" x="78"/>
        <item x="39"/>
        <item x="40"/>
        <item x="46"/>
        <item m="1" x="77"/>
        <item x="43"/>
        <item x="44"/>
        <item x="47"/>
        <item x="45"/>
        <item x="17"/>
        <item m="1" x="72"/>
        <item x="60"/>
        <item m="1" x="66"/>
        <item m="1" x="65"/>
        <item x="2"/>
        <item x="26"/>
        <item x="28"/>
        <item x="30"/>
        <item x="56"/>
        <item x="33"/>
        <item x="53"/>
        <item x="57"/>
        <item x="34"/>
        <item x="35"/>
        <item x="36"/>
        <item m="1" x="80"/>
        <item x="5"/>
        <item x="41"/>
        <item x="58"/>
        <item x="4"/>
        <item x="61"/>
        <item m="1" x="67"/>
        <item x="48"/>
        <item m="1" x="68"/>
        <item x="14"/>
        <item m="1" x="64"/>
        <item x="59"/>
        <item m="1" x="71"/>
        <item x="9"/>
        <item x="10"/>
        <item x="62"/>
        <item m="1" x="70"/>
        <item m="1" x="69"/>
        <item x="18"/>
        <item x="13"/>
        <item x="63"/>
        <item x="11"/>
        <item t="default"/>
      </items>
    </pivotField>
    <pivotField compact="0" outline="0" showAll="0"/>
    <pivotField compact="0" outline="0" showAll="0">
      <items count="4">
        <item h="1" x="0"/>
        <item x="1"/>
        <item h="1" m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7"/>
    <field x="5"/>
    <field x="4"/>
  </rowFields>
  <rowItems count="8">
    <i>
      <x v="1"/>
      <x v="8"/>
      <x/>
    </i>
    <i r="1">
      <x v="12"/>
      <x/>
    </i>
    <i t="default">
      <x v="1"/>
    </i>
    <i t="blank">
      <x v="1"/>
    </i>
    <i>
      <x v="3"/>
      <x v="3"/>
      <x/>
    </i>
    <i t="default">
      <x v="3"/>
    </i>
    <i t="blank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3" baseField="0" baseItem="0"/>
    <dataField name="Suma de Total" fld="11" baseField="0" baseItem="0" numFmtId="165"/>
  </dataFields>
  <formats count="7">
    <format dxfId="33">
      <pivotArea outline="0" fieldPosition="0">
        <references count="2">
          <reference field="4294967294" count="1" selected="0">
            <x v="0"/>
          </reference>
          <reference field="7" count="1" selected="0" defaultSubtotal="1">
            <x v="1"/>
          </reference>
        </references>
      </pivotArea>
    </format>
    <format dxfId="32">
      <pivotArea outline="0" fieldPosition="0">
        <references count="2">
          <reference field="4294967294" count="1" selected="0">
            <x v="0"/>
          </reference>
          <reference field="7" count="1" selected="0" defaultSubtotal="1">
            <x v="3"/>
          </reference>
        </references>
      </pivotArea>
    </format>
    <format dxfId="31">
      <pivotArea field="7" grandRow="1" outline="0" axis="axisRow" fieldPosition="0">
        <references count="1">
          <reference field="4294967294" count="1" selected="0">
            <x v="0"/>
          </reference>
        </references>
      </pivotArea>
    </format>
    <format dxfId="30">
      <pivotArea field="7" grandRow="1" outline="0" axis="axisRow" fieldPosition="0">
        <references count="1">
          <reference field="4294967294" count="1" selected="0">
            <x v="0"/>
          </reference>
        </references>
      </pivotArea>
    </format>
    <format dxfId="29">
      <pivotArea field="7" grandRow="1" outline="0" axis="axisRow" fieldPosition="0">
        <references count="1">
          <reference field="4294967294" count="1" selected="0">
            <x v="0"/>
          </reference>
        </references>
      </pivotArea>
    </format>
    <format dxfId="28">
      <pivotArea outline="0" fieldPosition="0">
        <references count="1">
          <reference field="4294967294" count="1" selected="0">
            <x v="1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D06CC-DD35-4C6F-808E-B8BD01C17501}" name="TablaDiná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22" firstHeaderRow="1" firstDataRow="1" firstDataCol="3"/>
  <pivotFields count="21">
    <pivotField compact="0" outline="0" showAll="0"/>
    <pivotField compact="0" numFmtId="14" outline="0" showAll="0"/>
    <pivotField compact="0" outline="0" showAll="0"/>
    <pivotField dataField="1" compact="0" outline="0" showAll="0"/>
    <pivotField axis="axisRow" compact="0" outline="0" showAll="0" defaultSubtotal="0">
      <items count="3">
        <item x="0"/>
        <item m="1" x="2"/>
        <item x="1"/>
      </items>
    </pivotField>
    <pivotField axis="axisRow" compact="0" outline="0" showAll="0" defaultSubtotal="0">
      <items count="16">
        <item x="0"/>
        <item x="1"/>
        <item x="2"/>
        <item x="3"/>
        <item x="4"/>
        <item x="15"/>
        <item x="5"/>
        <item sd="0" x="6"/>
        <item x="7"/>
        <item x="8"/>
        <item x="9"/>
        <item x="11"/>
        <item x="12"/>
        <item x="13"/>
        <item x="14"/>
        <item x="10"/>
      </items>
    </pivotField>
    <pivotField compact="0" outline="0" showAll="0"/>
    <pivotField axis="axisRow" compact="0" outline="0" showAll="0" insertBlankRow="1" defaultSubtotal="0">
      <items count="4">
        <item m="1" x="2"/>
        <item x="1"/>
        <item m="1" x="3"/>
        <item x="0"/>
      </items>
    </pivotField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14" outline="0" showAll="0">
      <items count="88">
        <item x="55"/>
        <item x="7"/>
        <item x="19"/>
        <item x="15"/>
        <item x="54"/>
        <item x="1"/>
        <item x="12"/>
        <item x="0"/>
        <item x="49"/>
        <item x="20"/>
        <item x="21"/>
        <item x="22"/>
        <item x="23"/>
        <item x="50"/>
        <item x="16"/>
        <item x="24"/>
        <item x="25"/>
        <item x="51"/>
        <item m="1" x="86"/>
        <item m="1" x="73"/>
        <item x="8"/>
        <item m="1" x="74"/>
        <item x="27"/>
        <item x="52"/>
        <item m="1" x="85"/>
        <item x="29"/>
        <item x="3"/>
        <item x="6"/>
        <item x="31"/>
        <item x="32"/>
        <item m="1" x="84"/>
        <item m="1" x="83"/>
        <item m="1" x="79"/>
        <item m="1" x="82"/>
        <item x="37"/>
        <item x="38"/>
        <item m="1" x="75"/>
        <item m="1" x="81"/>
        <item x="42"/>
        <item m="1" x="76"/>
        <item m="1" x="78"/>
        <item x="39"/>
        <item x="40"/>
        <item x="46"/>
        <item m="1" x="77"/>
        <item x="43"/>
        <item x="44"/>
        <item x="47"/>
        <item x="45"/>
        <item x="17"/>
        <item m="1" x="72"/>
        <item x="60"/>
        <item m="1" x="66"/>
        <item m="1" x="65"/>
        <item x="2"/>
        <item x="26"/>
        <item x="28"/>
        <item x="30"/>
        <item x="56"/>
        <item x="33"/>
        <item x="53"/>
        <item x="57"/>
        <item x="34"/>
        <item x="35"/>
        <item x="36"/>
        <item m="1" x="80"/>
        <item x="5"/>
        <item x="41"/>
        <item x="58"/>
        <item x="4"/>
        <item x="61"/>
        <item m="1" x="67"/>
        <item x="48"/>
        <item m="1" x="68"/>
        <item x="14"/>
        <item m="1" x="64"/>
        <item x="59"/>
        <item m="1" x="71"/>
        <item x="9"/>
        <item x="10"/>
        <item x="62"/>
        <item m="1" x="70"/>
        <item m="1" x="69"/>
        <item x="18"/>
        <item x="13"/>
        <item x="63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7"/>
    <field x="5"/>
    <field x="4"/>
  </rowFields>
  <rowItems count="19">
    <i>
      <x v="1"/>
      <x v="5"/>
      <x/>
    </i>
    <i r="1">
      <x v="6"/>
      <x/>
    </i>
    <i r="1">
      <x v="7"/>
    </i>
    <i r="1">
      <x v="8"/>
      <x/>
    </i>
    <i r="1">
      <x v="11"/>
      <x/>
    </i>
    <i r="1">
      <x v="12"/>
      <x/>
    </i>
    <i r="1">
      <x v="14"/>
      <x/>
    </i>
    <i t="blank">
      <x v="1"/>
    </i>
    <i>
      <x v="3"/>
      <x/>
      <x/>
    </i>
    <i r="1">
      <x v="1"/>
      <x/>
    </i>
    <i r="1">
      <x v="2"/>
      <x/>
    </i>
    <i r="1">
      <x v="3"/>
      <x/>
    </i>
    <i r="1">
      <x v="4"/>
      <x/>
    </i>
    <i r="1">
      <x v="9"/>
      <x v="2"/>
    </i>
    <i r="1">
      <x v="10"/>
      <x v="2"/>
    </i>
    <i r="1">
      <x v="13"/>
      <x/>
    </i>
    <i r="1">
      <x v="15"/>
      <x v="2"/>
    </i>
    <i t="blank">
      <x v="3"/>
    </i>
    <i t="grand">
      <x/>
    </i>
  </rowItems>
  <colItems count="1">
    <i/>
  </colItems>
  <dataFields count="1">
    <dataField name="Suma de Cantidad" fld="3" baseField="0" baseItem="0"/>
  </dataFields>
  <formats count="3">
    <format dxfId="26">
      <pivotArea outline="0" fieldPosition="0">
        <references count="3">
          <reference field="4" count="0" selected="0"/>
          <reference field="5" count="8" selected="0">
            <x v="0"/>
            <x v="1"/>
            <x v="2"/>
            <x v="3"/>
            <x v="4"/>
            <x v="9"/>
            <x v="10"/>
            <x v="13"/>
          </reference>
          <reference field="7" count="1" selected="0">
            <x v="3"/>
          </reference>
        </references>
      </pivotArea>
    </format>
    <format dxfId="25">
      <pivotArea outline="0" fieldPosition="0">
        <references count="1">
          <reference field="7" count="1" selected="0">
            <x v="1"/>
          </reference>
        </references>
      </pivotArea>
    </format>
    <format dxfId="24">
      <pivotArea outline="0" fieldPosition="0">
        <references count="3">
          <reference field="4" count="1" selected="0">
            <x v="0"/>
          </reference>
          <reference field="5" count="4" selected="0">
            <x v="0"/>
            <x v="1"/>
            <x v="2"/>
            <x v="3"/>
          </reference>
          <reference field="7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B732F-4163-4A77-A29C-870C61A629E8}" name="TablaDiná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G22" firstHeaderRow="0" firstDataRow="1" firstDataCol="5"/>
  <pivotFields count="21">
    <pivotField compact="0" outline="0" showAll="0"/>
    <pivotField compact="0" numFmtId="14" outline="0" showAll="0"/>
    <pivotField compact="0" outline="0" showAll="0"/>
    <pivotField dataField="1" compact="0" outline="0" showAll="0"/>
    <pivotField axis="axisRow" compact="0" outline="0" showAll="0" defaultSubtotal="0">
      <items count="3">
        <item x="0"/>
        <item m="1" x="2"/>
        <item x="1"/>
      </items>
    </pivotField>
    <pivotField axis="axisRow" compact="0" outline="0" showAll="0" defaultSubtotal="0">
      <items count="16">
        <item x="0"/>
        <item x="1"/>
        <item x="2"/>
        <item x="3"/>
        <item x="4"/>
        <item x="15"/>
        <item x="5"/>
        <item x="6"/>
        <item x="7"/>
        <item x="8"/>
        <item x="9"/>
        <item x="11"/>
        <item x="12"/>
        <item x="13"/>
        <item x="14"/>
        <item x="10"/>
      </items>
    </pivotField>
    <pivotField compact="0" outline="0" showAll="0"/>
    <pivotField axis="axisRow" compact="0" outline="0" showAll="0" insertBlankRow="1" defaultSubtotal="0">
      <items count="4">
        <item m="1" x="2"/>
        <item x="1"/>
        <item m="1" x="3"/>
        <item x="0"/>
      </items>
    </pivotField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23">
        <item m="1" x="17"/>
        <item x="7"/>
        <item x="13"/>
        <item x="2"/>
        <item x="0"/>
        <item x="12"/>
        <item x="4"/>
        <item x="11"/>
        <item x="15"/>
        <item m="1" x="21"/>
        <item x="14"/>
        <item m="1" x="16"/>
        <item m="1" x="19"/>
        <item m="1" x="22"/>
        <item x="1"/>
        <item m="1" x="18"/>
        <item m="1" x="20"/>
        <item x="8"/>
        <item x="9"/>
        <item x="3"/>
        <item x="6"/>
        <item x="10"/>
        <item x="5"/>
      </items>
    </pivotField>
    <pivotField compact="0" numFmtId="44" outline="0" showAll="0"/>
    <pivotField dataField="1" compact="0" numFmtId="44" outline="0" showAll="0"/>
    <pivotField compact="0" numFmtId="14" outline="0" showAll="0">
      <items count="88">
        <item x="55"/>
        <item x="7"/>
        <item x="19"/>
        <item x="15"/>
        <item x="54"/>
        <item x="1"/>
        <item x="12"/>
        <item x="0"/>
        <item x="49"/>
        <item x="20"/>
        <item x="21"/>
        <item x="22"/>
        <item x="23"/>
        <item x="50"/>
        <item x="16"/>
        <item x="24"/>
        <item x="25"/>
        <item x="51"/>
        <item m="1" x="86"/>
        <item m="1" x="73"/>
        <item x="8"/>
        <item m="1" x="74"/>
        <item x="27"/>
        <item x="52"/>
        <item m="1" x="85"/>
        <item x="29"/>
        <item x="3"/>
        <item x="6"/>
        <item x="31"/>
        <item x="32"/>
        <item m="1" x="84"/>
        <item m="1" x="83"/>
        <item m="1" x="79"/>
        <item m="1" x="82"/>
        <item x="37"/>
        <item x="38"/>
        <item m="1" x="75"/>
        <item m="1" x="81"/>
        <item x="42"/>
        <item m="1" x="76"/>
        <item m="1" x="78"/>
        <item x="39"/>
        <item x="40"/>
        <item x="46"/>
        <item m="1" x="77"/>
        <item x="43"/>
        <item x="44"/>
        <item x="47"/>
        <item x="45"/>
        <item x="17"/>
        <item m="1" x="72"/>
        <item x="60"/>
        <item m="1" x="66"/>
        <item m="1" x="65"/>
        <item x="2"/>
        <item x="26"/>
        <item x="28"/>
        <item x="30"/>
        <item x="56"/>
        <item x="33"/>
        <item x="53"/>
        <item x="57"/>
        <item x="34"/>
        <item x="35"/>
        <item x="36"/>
        <item m="1" x="80"/>
        <item x="5"/>
        <item x="41"/>
        <item x="58"/>
        <item x="4"/>
        <item x="61"/>
        <item m="1" x="67"/>
        <item x="48"/>
        <item m="1" x="68"/>
        <item x="14"/>
        <item m="1" x="64"/>
        <item x="59"/>
        <item m="1" x="71"/>
        <item x="9"/>
        <item x="10"/>
        <item x="62"/>
        <item m="1" x="70"/>
        <item m="1" x="69"/>
        <item x="18"/>
        <item x="13"/>
        <item x="63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5">
    <field x="7"/>
    <field x="5"/>
    <field x="8"/>
    <field x="9"/>
    <field x="4"/>
  </rowFields>
  <rowItems count="19">
    <i>
      <x v="1"/>
      <x v="5"/>
      <x v="1"/>
      <x v="8"/>
      <x/>
    </i>
    <i r="1">
      <x v="6"/>
      <x v="1"/>
      <x v="22"/>
      <x/>
    </i>
    <i r="1">
      <x v="7"/>
      <x v="1"/>
      <x v="20"/>
      <x/>
    </i>
    <i r="1">
      <x v="8"/>
      <x v="1"/>
      <x v="1"/>
      <x/>
    </i>
    <i r="1">
      <x v="11"/>
      <x v="1"/>
      <x v="7"/>
      <x/>
    </i>
    <i r="1">
      <x v="12"/>
      <x v="1"/>
      <x v="5"/>
      <x/>
    </i>
    <i r="1">
      <x v="14"/>
      <x v="1"/>
      <x v="10"/>
      <x/>
    </i>
    <i t="blank">
      <x v="1"/>
    </i>
    <i>
      <x v="3"/>
      <x/>
      <x v="1"/>
      <x v="4"/>
      <x/>
    </i>
    <i r="1">
      <x v="1"/>
      <x v="1"/>
      <x v="14"/>
      <x/>
    </i>
    <i r="1">
      <x v="2"/>
      <x v="1"/>
      <x v="3"/>
      <x/>
    </i>
    <i r="1">
      <x v="3"/>
      <x v="1"/>
      <x v="19"/>
      <x/>
    </i>
    <i r="1">
      <x v="4"/>
      <x v="1"/>
      <x v="6"/>
      <x/>
    </i>
    <i r="1">
      <x v="9"/>
      <x/>
      <x v="17"/>
      <x v="2"/>
    </i>
    <i r="1">
      <x v="10"/>
      <x/>
      <x v="18"/>
      <x v="2"/>
    </i>
    <i r="1">
      <x v="13"/>
      <x v="1"/>
      <x v="2"/>
      <x/>
    </i>
    <i r="1">
      <x v="15"/>
      <x/>
      <x v="21"/>
      <x v="2"/>
    </i>
    <i t="blank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3" baseField="0" baseItem="0"/>
    <dataField name="Suma de Total" fld="11" baseField="0" baseItem="0" numFmtId="44"/>
  </dataFields>
  <formats count="2">
    <format dxfId="23">
      <pivotArea field="7" grandRow="1" outline="0" axis="axisRow" fieldPosition="0">
        <references count="1">
          <reference field="4294967294" count="1" selected="0">
            <x v="0"/>
          </reference>
        </references>
      </pivotArea>
    </format>
    <format dxfId="22">
      <pivotArea field="7" grandRow="1" outline="0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B43AC-EFCE-43E3-AC57-3A545E2BAF78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G66" firstHeaderRow="0" firstDataRow="1" firstDataCol="5"/>
  <pivotFields count="21">
    <pivotField compact="0" outline="0" showAll="0"/>
    <pivotField compact="0" numFmtId="14" outline="0" showAll="0"/>
    <pivotField compact="0" outline="0" showAll="0"/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m="1" x="2"/>
        <item x="1"/>
      </items>
    </pivotField>
    <pivotField axis="axisRow" compact="0" outline="0" showAll="0" defaultSubtotal="0">
      <items count="16">
        <item x="0"/>
        <item x="1"/>
        <item x="2"/>
        <item x="3"/>
        <item x="4"/>
        <item x="15"/>
        <item x="5"/>
        <item x="6"/>
        <item x="7"/>
        <item x="8"/>
        <item x="9"/>
        <item x="11"/>
        <item x="12"/>
        <item x="13"/>
        <item x="14"/>
        <item x="10"/>
      </items>
    </pivotField>
    <pivotField compact="0" outline="0" showAll="0"/>
    <pivotField axis="axisRow" compact="0" outline="0" showAll="0" insertBlankRow="1">
      <items count="5">
        <item m="1" x="2"/>
        <item x="1"/>
        <item m="1" x="3"/>
        <item x="0"/>
        <item t="default"/>
      </items>
    </pivotField>
    <pivotField compact="0" outline="0" showAll="0"/>
    <pivotField compact="0" outline="0" showAll="0"/>
    <pivotField compact="0" numFmtId="44" outline="0" showAll="0"/>
    <pivotField dataField="1" compact="0" numFmtId="44" outline="0" showAll="0"/>
    <pivotField compact="0" numFmtId="14" outline="0" showAll="0">
      <items count="88">
        <item x="55"/>
        <item x="7"/>
        <item x="19"/>
        <item x="15"/>
        <item x="54"/>
        <item x="1"/>
        <item x="12"/>
        <item x="0"/>
        <item x="49"/>
        <item x="20"/>
        <item x="21"/>
        <item x="22"/>
        <item x="23"/>
        <item x="50"/>
        <item x="16"/>
        <item x="24"/>
        <item x="25"/>
        <item x="51"/>
        <item m="1" x="86"/>
        <item m="1" x="73"/>
        <item x="8"/>
        <item m="1" x="74"/>
        <item x="27"/>
        <item x="52"/>
        <item m="1" x="85"/>
        <item x="29"/>
        <item x="3"/>
        <item x="6"/>
        <item x="31"/>
        <item x="32"/>
        <item m="1" x="84"/>
        <item m="1" x="83"/>
        <item m="1" x="79"/>
        <item m="1" x="82"/>
        <item x="37"/>
        <item x="38"/>
        <item m="1" x="75"/>
        <item m="1" x="81"/>
        <item x="42"/>
        <item m="1" x="76"/>
        <item m="1" x="78"/>
        <item x="39"/>
        <item x="40"/>
        <item x="46"/>
        <item m="1" x="77"/>
        <item x="43"/>
        <item x="44"/>
        <item x="47"/>
        <item x="45"/>
        <item x="17"/>
        <item m="1" x="72"/>
        <item x="60"/>
        <item m="1" x="66"/>
        <item m="1" x="65"/>
        <item x="2"/>
        <item x="26"/>
        <item x="28"/>
        <item x="30"/>
        <item x="56"/>
        <item x="33"/>
        <item x="53"/>
        <item x="57"/>
        <item x="34"/>
        <item x="35"/>
        <item x="36"/>
        <item m="1" x="80"/>
        <item x="5"/>
        <item x="41"/>
        <item x="58"/>
        <item x="4"/>
        <item x="61"/>
        <item m="1" x="67"/>
        <item x="48"/>
        <item m="1" x="68"/>
        <item x="14"/>
        <item m="1" x="64"/>
        <item x="59"/>
        <item m="1" x="71"/>
        <item x="9"/>
        <item x="10"/>
        <item x="62"/>
        <item m="1" x="70"/>
        <item m="1" x="69"/>
        <item x="18"/>
        <item x="13"/>
        <item x="63"/>
        <item x="11"/>
        <item t="default"/>
      </items>
    </pivotField>
    <pivotField axis="axisRow" compact="0" outline="0" showAll="0">
      <items count="10">
        <item x="4"/>
        <item x="0"/>
        <item x="1"/>
        <item x="3"/>
        <item x="2"/>
        <item x="6"/>
        <item x="7"/>
        <item x="8"/>
        <item x="5"/>
        <item t="default"/>
      </items>
    </pivotField>
    <pivotField axis="axisRow" compact="0" outline="0" showAll="0">
      <items count="4">
        <item x="0"/>
        <item x="1"/>
        <item m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5">
    <field x="7"/>
    <field x="14"/>
    <field x="5"/>
    <field x="4"/>
    <field x="13"/>
  </rowFields>
  <rowItems count="62">
    <i>
      <x v="1"/>
      <x/>
      <x v="5"/>
      <x/>
      <x v="4"/>
    </i>
    <i r="4">
      <x v="5"/>
    </i>
    <i r="4">
      <x v="6"/>
    </i>
    <i r="2">
      <x v="6"/>
      <x/>
      <x v="5"/>
    </i>
    <i r="2">
      <x v="7"/>
      <x/>
      <x v="2"/>
    </i>
    <i r="4">
      <x v="3"/>
    </i>
    <i r="4">
      <x v="4"/>
    </i>
    <i r="2">
      <x v="8"/>
      <x/>
      <x v="1"/>
    </i>
    <i r="4">
      <x v="2"/>
    </i>
    <i r="4">
      <x v="3"/>
    </i>
    <i r="4">
      <x v="4"/>
    </i>
    <i r="4">
      <x v="5"/>
    </i>
    <i r="2">
      <x v="11"/>
      <x/>
      <x v="1"/>
    </i>
    <i r="4">
      <x v="4"/>
    </i>
    <i r="2">
      <x v="12"/>
      <x/>
      <x v="1"/>
    </i>
    <i r="4">
      <x v="2"/>
    </i>
    <i r="4">
      <x v="4"/>
    </i>
    <i r="4">
      <x v="5"/>
    </i>
    <i r="2">
      <x v="14"/>
      <x/>
      <x v="2"/>
    </i>
    <i r="4">
      <x v="3"/>
    </i>
    <i r="4">
      <x v="4"/>
    </i>
    <i t="default" r="1">
      <x/>
    </i>
    <i r="1">
      <x v="1"/>
      <x v="8"/>
      <x/>
      <x v="8"/>
    </i>
    <i r="2">
      <x v="12"/>
      <x/>
      <x v="8"/>
    </i>
    <i t="default" r="1">
      <x v="1"/>
    </i>
    <i t="default">
      <x v="1"/>
    </i>
    <i t="blank">
      <x v="1"/>
    </i>
    <i>
      <x v="3"/>
      <x/>
      <x/>
      <x/>
      <x v="1"/>
    </i>
    <i r="4">
      <x v="2"/>
    </i>
    <i r="4">
      <x v="3"/>
    </i>
    <i r="4">
      <x v="4"/>
    </i>
    <i r="2">
      <x v="1"/>
      <x/>
      <x v="2"/>
    </i>
    <i r="2">
      <x v="2"/>
      <x/>
      <x v="2"/>
    </i>
    <i r="2">
      <x v="3"/>
      <x/>
      <x/>
    </i>
    <i r="4">
      <x v="1"/>
    </i>
    <i r="4">
      <x v="2"/>
    </i>
    <i r="4">
      <x v="3"/>
    </i>
    <i r="4">
      <x v="4"/>
    </i>
    <i r="2">
      <x v="4"/>
      <x/>
      <x v="1"/>
    </i>
    <i r="4">
      <x v="2"/>
    </i>
    <i r="2">
      <x v="9"/>
      <x v="2"/>
      <x/>
    </i>
    <i r="4">
      <x v="1"/>
    </i>
    <i r="4">
      <x v="2"/>
    </i>
    <i r="4">
      <x v="3"/>
    </i>
    <i r="4">
      <x v="4"/>
    </i>
    <i r="4">
      <x v="5"/>
    </i>
    <i r="4">
      <x v="7"/>
    </i>
    <i r="2">
      <x v="10"/>
      <x v="2"/>
      <x v="1"/>
    </i>
    <i r="4">
      <x v="2"/>
    </i>
    <i r="4">
      <x v="3"/>
    </i>
    <i r="4">
      <x v="4"/>
    </i>
    <i r="2">
      <x v="13"/>
      <x/>
      <x/>
    </i>
    <i r="4">
      <x v="2"/>
    </i>
    <i r="4">
      <x v="3"/>
    </i>
    <i r="4">
      <x v="4"/>
    </i>
    <i r="2">
      <x v="15"/>
      <x v="2"/>
      <x v="4"/>
    </i>
    <i t="default" r="1">
      <x/>
    </i>
    <i r="1">
      <x v="1"/>
      <x v="3"/>
      <x/>
      <x v="8"/>
    </i>
    <i t="default" r="1">
      <x v="1"/>
    </i>
    <i t="default">
      <x v="3"/>
    </i>
    <i t="blank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3" baseField="0" baseItem="0"/>
    <dataField name="Suma de Total" fld="11" baseField="0" baseItem="0" numFmtId="165"/>
  </dataFields>
  <formats count="7">
    <format dxfId="21">
      <pivotArea outline="0" fieldPosition="0">
        <references count="2">
          <reference field="4294967294" count="1" selected="0">
            <x v="0"/>
          </reference>
          <reference field="7" count="1" selected="0" defaultSubtotal="1">
            <x v="1"/>
          </reference>
        </references>
      </pivotArea>
    </format>
    <format dxfId="20">
      <pivotArea outline="0" fieldPosition="0">
        <references count="2">
          <reference field="4294967294" count="1" selected="0">
            <x v="0"/>
          </reference>
          <reference field="7" count="1" selected="0" defaultSubtotal="1">
            <x v="3"/>
          </reference>
        </references>
      </pivotArea>
    </format>
    <format dxfId="19">
      <pivotArea field="7" grandRow="1" outline="0" axis="axisRow" fieldPosition="0">
        <references count="1">
          <reference field="4294967294" count="1" selected="0">
            <x v="0"/>
          </reference>
        </references>
      </pivotArea>
    </format>
    <format dxfId="18">
      <pivotArea field="7" grandRow="1" outline="0" axis="axisRow" fieldPosition="0">
        <references count="1">
          <reference field="4294967294" count="1" selected="0">
            <x v="0"/>
          </reference>
        </references>
      </pivotArea>
    </format>
    <format dxfId="17">
      <pivotArea field="7" grandRow="1" outline="0" axis="axisRow" fieldPosition="0">
        <references count="1">
          <reference field="4294967294" count="1" selected="0">
            <x v="0"/>
          </reference>
        </references>
      </pivotArea>
    </format>
    <format dxfId="16">
      <pivotArea outline="0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5C329-CFF5-4C45-8D69-E036299DA91C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E63" firstHeaderRow="0" firstDataRow="1" firstDataCol="3"/>
  <pivotFields count="21">
    <pivotField compact="0" outline="0" showAll="0"/>
    <pivotField compact="0" numFmtId="14" outline="0" showAll="0"/>
    <pivotField compact="0" outline="0" showAll="0"/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m="1" x="2"/>
        <item x="1"/>
      </items>
    </pivotField>
    <pivotField axis="axisRow" compact="0" outline="0" showAll="0" defaultSubtotal="0">
      <items count="16">
        <item x="0"/>
        <item x="1"/>
        <item x="2"/>
        <item x="3"/>
        <item x="4"/>
        <item x="15"/>
        <item x="5"/>
        <item x="6"/>
        <item x="7"/>
        <item x="8"/>
        <item x="9"/>
        <item x="11"/>
        <item x="12"/>
        <item x="13"/>
        <item x="14"/>
        <item x="10"/>
      </items>
    </pivotField>
    <pivotField compact="0" outline="0" showAll="0"/>
    <pivotField compact="0" outline="0" showAll="0" insertBlankRow="1"/>
    <pivotField compact="0" outline="0" showAll="0"/>
    <pivotField compact="0" outline="0" showAll="0"/>
    <pivotField compact="0" numFmtId="44" outline="0" showAll="0"/>
    <pivotField dataField="1" compact="0" numFmtId="44" outline="0" showAll="0"/>
    <pivotField compact="0" numFmtId="14" outline="0" showAll="0">
      <items count="88">
        <item x="55"/>
        <item x="7"/>
        <item x="19"/>
        <item x="15"/>
        <item x="54"/>
        <item x="1"/>
        <item x="12"/>
        <item x="0"/>
        <item x="49"/>
        <item x="20"/>
        <item x="21"/>
        <item x="22"/>
        <item x="23"/>
        <item x="50"/>
        <item x="16"/>
        <item x="24"/>
        <item x="25"/>
        <item x="51"/>
        <item m="1" x="86"/>
        <item m="1" x="73"/>
        <item x="8"/>
        <item m="1" x="74"/>
        <item x="27"/>
        <item x="52"/>
        <item m="1" x="85"/>
        <item x="29"/>
        <item x="3"/>
        <item x="6"/>
        <item x="31"/>
        <item x="32"/>
        <item m="1" x="84"/>
        <item m="1" x="83"/>
        <item m="1" x="79"/>
        <item m="1" x="82"/>
        <item x="37"/>
        <item x="38"/>
        <item m="1" x="75"/>
        <item m="1" x="81"/>
        <item x="42"/>
        <item m="1" x="76"/>
        <item m="1" x="78"/>
        <item x="39"/>
        <item x="40"/>
        <item x="46"/>
        <item m="1" x="77"/>
        <item x="43"/>
        <item x="44"/>
        <item x="47"/>
        <item x="45"/>
        <item x="17"/>
        <item m="1" x="72"/>
        <item x="60"/>
        <item m="1" x="66"/>
        <item m="1" x="65"/>
        <item x="2"/>
        <item x="26"/>
        <item x="28"/>
        <item x="30"/>
        <item x="56"/>
        <item x="33"/>
        <item x="53"/>
        <item x="57"/>
        <item x="34"/>
        <item x="35"/>
        <item x="36"/>
        <item m="1" x="80"/>
        <item x="5"/>
        <item x="41"/>
        <item x="58"/>
        <item x="4"/>
        <item x="61"/>
        <item m="1" x="67"/>
        <item x="48"/>
        <item m="1" x="68"/>
        <item x="14"/>
        <item m="1" x="64"/>
        <item x="59"/>
        <item m="1" x="71"/>
        <item x="9"/>
        <item x="10"/>
        <item x="62"/>
        <item m="1" x="70"/>
        <item m="1" x="69"/>
        <item x="18"/>
        <item x="13"/>
        <item x="63"/>
        <item x="11"/>
        <item t="default"/>
      </items>
    </pivotField>
    <pivotField axis="axisRow" compact="0" outline="0" showAll="0">
      <items count="10">
        <item x="4"/>
        <item x="0"/>
        <item x="1"/>
        <item x="3"/>
        <item x="2"/>
        <item x="6"/>
        <item x="7"/>
        <item x="8"/>
        <item x="5"/>
        <item t="default"/>
      </items>
    </pivotField>
    <pivotField compact="0" outline="0" showAll="0">
      <items count="4">
        <item x="0"/>
        <item h="1" x="1"/>
        <item h="1" m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3"/>
    <field x="5"/>
    <field x="4"/>
  </rowFields>
  <rowItems count="59">
    <i>
      <x/>
      <x v="3"/>
      <x/>
    </i>
    <i r="1">
      <x v="9"/>
      <x v="2"/>
    </i>
    <i r="1">
      <x v="13"/>
      <x/>
    </i>
    <i t="default">
      <x/>
    </i>
    <i>
      <x v="1"/>
      <x/>
      <x/>
    </i>
    <i r="1">
      <x v="3"/>
      <x/>
    </i>
    <i r="1">
      <x v="4"/>
      <x/>
    </i>
    <i r="1">
      <x v="8"/>
      <x/>
    </i>
    <i r="1">
      <x v="9"/>
      <x v="2"/>
    </i>
    <i r="1">
      <x v="10"/>
      <x v="2"/>
    </i>
    <i r="1">
      <x v="11"/>
      <x/>
    </i>
    <i r="1">
      <x v="12"/>
      <x/>
    </i>
    <i t="default">
      <x v="1"/>
    </i>
    <i>
      <x v="2"/>
      <x/>
      <x/>
    </i>
    <i r="1">
      <x v="1"/>
      <x/>
    </i>
    <i r="1">
      <x v="2"/>
      <x/>
    </i>
    <i r="1">
      <x v="3"/>
      <x/>
    </i>
    <i r="1">
      <x v="4"/>
      <x/>
    </i>
    <i r="1">
      <x v="7"/>
      <x/>
    </i>
    <i r="1">
      <x v="8"/>
      <x/>
    </i>
    <i r="1">
      <x v="9"/>
      <x v="2"/>
    </i>
    <i r="1">
      <x v="10"/>
      <x v="2"/>
    </i>
    <i r="1">
      <x v="12"/>
      <x/>
    </i>
    <i r="1">
      <x v="13"/>
      <x/>
    </i>
    <i r="1">
      <x v="14"/>
      <x/>
    </i>
    <i t="default">
      <x v="2"/>
    </i>
    <i>
      <x v="3"/>
      <x/>
      <x/>
    </i>
    <i r="1">
      <x v="3"/>
      <x/>
    </i>
    <i r="1">
      <x v="7"/>
      <x/>
    </i>
    <i r="1">
      <x v="8"/>
      <x/>
    </i>
    <i r="1">
      <x v="9"/>
      <x v="2"/>
    </i>
    <i r="1">
      <x v="10"/>
      <x v="2"/>
    </i>
    <i r="1">
      <x v="13"/>
      <x/>
    </i>
    <i r="1">
      <x v="14"/>
      <x/>
    </i>
    <i t="default">
      <x v="3"/>
    </i>
    <i>
      <x v="4"/>
      <x/>
      <x/>
    </i>
    <i r="1">
      <x v="3"/>
      <x/>
    </i>
    <i r="1">
      <x v="5"/>
      <x/>
    </i>
    <i r="1">
      <x v="7"/>
      <x/>
    </i>
    <i r="1">
      <x v="8"/>
      <x/>
    </i>
    <i r="1">
      <x v="9"/>
      <x v="2"/>
    </i>
    <i r="1">
      <x v="10"/>
      <x v="2"/>
    </i>
    <i r="1">
      <x v="11"/>
      <x/>
    </i>
    <i r="1">
      <x v="12"/>
      <x/>
    </i>
    <i r="1">
      <x v="13"/>
      <x/>
    </i>
    <i r="1">
      <x v="14"/>
      <x/>
    </i>
    <i r="1">
      <x v="15"/>
      <x v="2"/>
    </i>
    <i t="default">
      <x v="4"/>
    </i>
    <i>
      <x v="5"/>
      <x v="5"/>
      <x/>
    </i>
    <i r="1">
      <x v="6"/>
      <x/>
    </i>
    <i r="1">
      <x v="8"/>
      <x/>
    </i>
    <i r="1">
      <x v="9"/>
      <x v="2"/>
    </i>
    <i r="1">
      <x v="12"/>
      <x/>
    </i>
    <i t="default">
      <x v="5"/>
    </i>
    <i>
      <x v="6"/>
      <x v="5"/>
      <x/>
    </i>
    <i t="default">
      <x v="6"/>
    </i>
    <i>
      <x v="7"/>
      <x v="9"/>
      <x v="2"/>
    </i>
    <i t="default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3" baseField="0" baseItem="0"/>
    <dataField name="Suma de Total" fld="11" baseField="0" baseItem="0" numFmtId="165"/>
  </dataFields>
  <formats count="5">
    <format dxfId="14">
      <pivotArea field="7" grandRow="1" outline="0">
        <references count="1">
          <reference field="4294967294" count="1" selected="0">
            <x v="0"/>
          </reference>
        </references>
      </pivotArea>
    </format>
    <format dxfId="13">
      <pivotArea field="7" grandRow="1" outline="0">
        <references count="1">
          <reference field="4294967294" count="1" selected="0">
            <x v="0"/>
          </reference>
        </references>
      </pivotArea>
    </format>
    <format dxfId="12">
      <pivotArea field="7" grandRow="1" outline="0">
        <references count="1">
          <reference field="4294967294" count="1" selected="0">
            <x v="0"/>
          </reference>
        </references>
      </pivotArea>
    </format>
    <format dxfId="11">
      <pivotArea outline="0" fieldPosition="0">
        <references count="1">
          <reference field="4294967294" count="1" selected="0">
            <x v="1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9F056-EDB1-4476-9B4D-99E553F3A782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5" firstHeaderRow="1" firstDataRow="1" firstDataCol="1"/>
  <pivotFields count="21">
    <pivotField showAll="0"/>
    <pivotField numFmtId="14" showAll="0"/>
    <pivotField showAll="0"/>
    <pivotField dataField="1" showAll="0"/>
    <pivotField showAll="0"/>
    <pivotField axis="axisRow" showAll="0">
      <items count="17">
        <item x="0"/>
        <item x="1"/>
        <item x="2"/>
        <item x="3"/>
        <item x="4"/>
        <item x="15"/>
        <item x="5"/>
        <item x="6"/>
        <item x="7"/>
        <item x="8"/>
        <item x="9"/>
        <item x="11"/>
        <item x="12"/>
        <item x="13"/>
        <item x="14"/>
        <item x="10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numFmtId="14" showAll="0">
      <items count="88">
        <item x="55"/>
        <item x="7"/>
        <item x="19"/>
        <item x="15"/>
        <item x="54"/>
        <item x="1"/>
        <item x="12"/>
        <item x="0"/>
        <item x="49"/>
        <item x="20"/>
        <item x="21"/>
        <item x="22"/>
        <item x="23"/>
        <item x="50"/>
        <item x="16"/>
        <item x="24"/>
        <item x="25"/>
        <item x="51"/>
        <item m="1" x="86"/>
        <item m="1" x="73"/>
        <item x="8"/>
        <item m="1" x="74"/>
        <item x="27"/>
        <item x="52"/>
        <item m="1" x="85"/>
        <item x="29"/>
        <item x="3"/>
        <item x="6"/>
        <item x="31"/>
        <item x="32"/>
        <item m="1" x="84"/>
        <item m="1" x="83"/>
        <item m="1" x="79"/>
        <item m="1" x="82"/>
        <item x="37"/>
        <item x="38"/>
        <item m="1" x="75"/>
        <item m="1" x="81"/>
        <item x="42"/>
        <item m="1" x="76"/>
        <item m="1" x="78"/>
        <item x="39"/>
        <item x="40"/>
        <item x="46"/>
        <item m="1" x="77"/>
        <item x="43"/>
        <item x="44"/>
        <item x="47"/>
        <item x="45"/>
        <item x="17"/>
        <item m="1" x="72"/>
        <item x="60"/>
        <item m="1" x="66"/>
        <item m="1" x="65"/>
        <item x="2"/>
        <item x="26"/>
        <item x="28"/>
        <item x="30"/>
        <item x="56"/>
        <item x="33"/>
        <item x="53"/>
        <item x="57"/>
        <item x="34"/>
        <item x="35"/>
        <item x="36"/>
        <item m="1" x="80"/>
        <item x="5"/>
        <item x="41"/>
        <item x="58"/>
        <item x="4"/>
        <item x="61"/>
        <item m="1" x="67"/>
        <item x="48"/>
        <item m="1" x="68"/>
        <item x="14"/>
        <item m="1" x="64"/>
        <item x="59"/>
        <item m="1" x="71"/>
        <item x="9"/>
        <item x="10"/>
        <item x="62"/>
        <item m="1" x="70"/>
        <item m="1" x="69"/>
        <item x="18"/>
        <item x="13"/>
        <item x="63"/>
        <item x="11"/>
        <item t="default"/>
      </items>
    </pivotField>
    <pivotField showAll="0"/>
    <pivotField axis="axisRow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4"/>
    <field x="5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1"/>
    </i>
    <i r="1">
      <x v="3"/>
    </i>
    <i r="1">
      <x v="8"/>
    </i>
    <i r="1">
      <x v="12"/>
    </i>
    <i t="grand">
      <x/>
    </i>
  </rowItems>
  <colItems count="1">
    <i/>
  </colItems>
  <dataFields count="1">
    <dataField name="Suma de Cantida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" xr10:uid="{6686171D-96EC-4425-B8F9-3EAC08DC732A}" sourceName="Estado">
  <pivotTables>
    <pivotTable tabId="3" name="TablaDinámica2"/>
  </pivotTables>
  <data>
    <tabular pivotCacheId="1994288695">
      <items count="3">
        <i x="0"/>
        <i x="1" s="1"/>
        <i x="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1" xr10:uid="{380A4BCF-017D-4DA2-8356-2B741B1FF724}" sourceName="Estado">
  <pivotTables>
    <pivotTable tabId="12" name="TablaDinámica2"/>
  </pivotTables>
  <data>
    <tabular pivotCacheId="1994288695">
      <items count="3">
        <i x="0" s="1"/>
        <i x="1"/>
        <i x="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ado" xr10:uid="{3E274C9E-52D0-4742-B7E4-8CF46ACFC135}" cache="SegmentaciónDeDatos_Estado" caption="Estado" columnCount="2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ado 1" xr10:uid="{03999090-BBF1-48E2-A84D-2DB31CF1DDE5}" cache="SegmentaciónDeDatos_Estado1" caption="Estado" columnCount="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47BA6-BB55-47E1-A3AB-D1FA729258E9}" name="Tabla1" displayName="Tabla1" ref="A9:S114" totalsRowShown="0" headerRowDxfId="45">
  <autoFilter ref="A9:S114" xr:uid="{E5B47BA6-BB55-47E1-A3AB-D1FA729258E9}"/>
  <sortState xmlns:xlrd2="http://schemas.microsoft.com/office/spreadsheetml/2017/richdata2" ref="A10:S113">
    <sortCondition ref="O9:O113"/>
  </sortState>
  <tableColumns count="19">
    <tableColumn id="1" xr3:uid="{ABC9D6B9-B435-44A8-AC1D-3A7F3684B351}" name="Solicita"/>
    <tableColumn id="2" xr3:uid="{D6EB60C5-1C40-47ED-9FB1-374E19B24E9A}" name="Fecha" dataDxfId="44"/>
    <tableColumn id="3" xr3:uid="{D0A4671C-530D-455C-9B7A-52F52FA87E23}" name="Rubro"/>
    <tableColumn id="4" xr3:uid="{E2744C88-A32D-477A-A488-E2EEDE9A0D41}" name="Cantidad"/>
    <tableColumn id="5" xr3:uid="{681C651D-E929-4B0E-B5D7-68CE0CD4311A}" name="U/M"/>
    <tableColumn id="6" xr3:uid="{FD6A41E2-5215-422B-AB72-C8073C73180D}" name="Articulo"/>
    <tableColumn id="7" xr3:uid="{D3D27FF5-A21A-484B-8256-6DC392426D15}" name="Proveedor"/>
    <tableColumn id="8" xr3:uid="{B7EE972F-E2DD-462D-A500-A25FF2470135}" name="Sector"/>
    <tableColumn id="9" xr3:uid="{02FC2EEA-023E-4B2F-B485-DC353A71EC23}" name="Moneda" dataDxfId="43">
      <calculatedColumnFormula>VLOOKUP(Tabla1[[#This Row],[Articulo]],Tabla2[[Descripcion]:[Moneda]],3,FALSE)</calculatedColumnFormula>
    </tableColumn>
    <tableColumn id="10" xr3:uid="{DD121184-680A-4A3A-BF4B-A9D24FF92624}" name="$" dataCellStyle="Moneda">
      <calculatedColumnFormula>VLOOKUP(Tabla1[[#This Row],[Articulo]],Tabla2[],4,FALSE)</calculatedColumnFormula>
    </tableColumn>
    <tableColumn id="18" xr3:uid="{1E29690A-AD00-49F3-AB46-FD0AF8DCE7AE}" name="Importe" dataDxfId="42" dataCellStyle="Moneda">
      <calculatedColumnFormula>IF(I10="$", J10/$H$1, IF(I10="U$D", J10*1, 0))</calculatedColumnFormula>
    </tableColumn>
    <tableColumn id="19" xr3:uid="{0C4F4870-64EC-4168-97BE-8674B96B82BB}" name="Total" dataDxfId="41" dataCellStyle="Moneda">
      <calculatedColumnFormula>Tabla1[[#This Row],[Importe]]*Tabla1[[#This Row],[Cantidad]]</calculatedColumnFormula>
    </tableColumn>
    <tableColumn id="11" xr3:uid="{2EA38B46-DCBE-4340-A2A4-DD6B043C95F4}" name="Fecha Entrega" dataDxfId="40"/>
    <tableColumn id="12" xr3:uid="{4DC2766A-D25F-4018-B804-F35119E17C75}" name="Mes">
      <calculatedColumnFormula>TEXT(Tabla1[[#This Row],[Fecha Entrega]],"mmmm")</calculatedColumnFormula>
    </tableColumn>
    <tableColumn id="13" xr3:uid="{1800D504-E2F3-4736-90A4-42234928A881}" name="Estado"/>
    <tableColumn id="14" xr3:uid="{0A5B881F-3033-4F72-B7EE-6D11CEA01375}" name="Observación"/>
    <tableColumn id="15" xr3:uid="{E913CC5D-F2D8-489F-9834-B4392345A873}" name="Pedido"/>
    <tableColumn id="16" xr3:uid="{415D4BF2-54BC-443D-ACAC-B0DFD93627F6}" name="Entrega"/>
    <tableColumn id="17" xr3:uid="{07E80674-9855-49B4-87F1-7CEA470F7B88}" name="Factura/Remi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6A21D0-BF74-405C-816D-FF180DA65A53}" name="Tabla2" displayName="Tabla2" ref="A2:D18" totalsRowShown="0" headerRowDxfId="39">
  <autoFilter ref="A2:D18" xr:uid="{BF6A21D0-BF74-405C-816D-FF180DA65A53}"/>
  <tableColumns count="4">
    <tableColumn id="1" xr3:uid="{4C9ED8A6-DE10-4FC9-A1A8-C9C31853D309}" name="Descripcion" dataDxfId="38"/>
    <tableColumn id="2" xr3:uid="{17F4999B-AFFB-423F-81FC-E94D2D51FCC4}" name="U/M"/>
    <tableColumn id="4" xr3:uid="{AED66179-0481-4D19-8718-F67F09D2A74F}" name="Moneda"/>
    <tableColumn id="3" xr3:uid="{8D449BA5-7410-4173-AB96-0B1F4A36CC9F}" name="$" dataDxfId="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B8C7E4-857A-45C7-8640-F7ED83B0E987}" name="Tabla3" displayName="Tabla3" ref="B2:H15" totalsRowShown="0" headerRowDxfId="9" dataDxfId="8">
  <autoFilter ref="B2:H15" xr:uid="{8EB8C7E4-857A-45C7-8640-F7ED83B0E987}"/>
  <tableColumns count="7">
    <tableColumn id="1" xr3:uid="{48393E8F-75FE-4E2C-B5A6-0DA171776A4D}" name="Fecha" dataDxfId="7"/>
    <tableColumn id="2" xr3:uid="{963F1D5B-BEA1-44D4-93E6-186C3DBEAC18}" name="Tipo" dataDxfId="6"/>
    <tableColumn id="7" xr3:uid="{193244C5-51AA-4CBE-9C5C-987B16E24CCC}" name="Comprobante" dataDxfId="5"/>
    <tableColumn id="3" xr3:uid="{8FFB7E5E-DF58-448C-A2B8-F8E260D7153A}" name="TN" dataDxfId="4"/>
    <tableColumn id="4" xr3:uid="{87858EB0-F199-426F-9BD2-3508F9DACC9D}" name="$" dataDxfId="3" dataCellStyle="Moneda"/>
    <tableColumn id="5" xr3:uid="{DC37D9EF-761A-4BBE-A4AB-069249B5CE73}" name="$Total" dataDxfId="2" dataCellStyle="Moneda">
      <calculatedColumnFormula>F3*E3</calculatedColumnFormula>
    </tableColumn>
    <tableColumn id="6" xr3:uid="{66202679-348D-4EC3-8EBB-E8E14B182F31}" name="$IVA" dataDxfId="1" dataCellStyle="Moneda">
      <calculatedColumnFormula>G3*1.21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056D7-4A43-48CE-90A5-F5C3C7DA0A1A}">
  <sheetPr>
    <tabColor theme="6"/>
    <pageSetUpPr fitToPage="1"/>
  </sheetPr>
  <dimension ref="A1:S114"/>
  <sheetViews>
    <sheetView showGridLines="0" tabSelected="1" zoomScale="101" zoomScaleNormal="101" workbookViewId="0">
      <pane ySplit="9" topLeftCell="A91" activePane="bottomLeft" state="frozen"/>
      <selection pane="bottomLeft" activeCell="F113" sqref="F113"/>
    </sheetView>
  </sheetViews>
  <sheetFormatPr baseColWidth="10" defaultRowHeight="15" x14ac:dyDescent="0.25"/>
  <cols>
    <col min="1" max="1" width="10" bestFit="1" customWidth="1"/>
    <col min="2" max="2" width="10.85546875" style="1" bestFit="1" customWidth="1"/>
    <col min="3" max="3" width="21.5703125" bestFit="1" customWidth="1"/>
    <col min="4" max="4" width="10" customWidth="1"/>
    <col min="5" max="5" width="9.42578125" bestFit="1" customWidth="1"/>
    <col min="6" max="6" width="27.5703125" bestFit="1" customWidth="1"/>
    <col min="7" max="7" width="24" bestFit="1" customWidth="1"/>
    <col min="8" max="8" width="25.140625" bestFit="1" customWidth="1"/>
    <col min="9" max="9" width="10.42578125" style="3" customWidth="1"/>
    <col min="10" max="10" width="15" style="2" bestFit="1" customWidth="1"/>
    <col min="11" max="12" width="17.28515625" style="2" bestFit="1" customWidth="1"/>
    <col min="13" max="13" width="18.140625" style="1" bestFit="1" customWidth="1"/>
    <col min="14" max="14" width="9.28515625" bestFit="1" customWidth="1"/>
    <col min="15" max="15" width="9.7109375" bestFit="1" customWidth="1"/>
    <col min="16" max="16" width="14.5703125" bestFit="1" customWidth="1"/>
    <col min="17" max="17" width="9.5703125" hidden="1" customWidth="1"/>
    <col min="18" max="18" width="10.140625" hidden="1" customWidth="1"/>
    <col min="19" max="19" width="17.140625" hidden="1" customWidth="1"/>
  </cols>
  <sheetData>
    <row r="1" spans="1:19" x14ac:dyDescent="0.25">
      <c r="G1" s="13" t="s">
        <v>158</v>
      </c>
      <c r="H1" s="8">
        <v>1550</v>
      </c>
      <c r="I1" s="2"/>
    </row>
    <row r="2" spans="1:19" x14ac:dyDescent="0.25">
      <c r="J2" s="22" t="s">
        <v>7</v>
      </c>
      <c r="K2" s="23" t="s">
        <v>55</v>
      </c>
      <c r="L2" s="23" t="s">
        <v>31</v>
      </c>
      <c r="M2" s="24" t="s">
        <v>24</v>
      </c>
      <c r="P2" s="27"/>
    </row>
    <row r="3" spans="1:19" x14ac:dyDescent="0.25">
      <c r="J3" s="25" t="s">
        <v>94</v>
      </c>
      <c r="K3" s="27">
        <f>SUM(L3:M3)</f>
        <v>314571.40645161289</v>
      </c>
      <c r="L3" s="28">
        <f>SUMIFS(L:L, H:H, "INSUMOS DE CAMPAÑA", O:O, "Cumplido")</f>
        <v>314571.40645161289</v>
      </c>
      <c r="M3" s="29">
        <f>SUMIFS(L:L, H:H, "INSUMOS DE CAMPAÑA", O:O, "Pendiente")</f>
        <v>0</v>
      </c>
    </row>
    <row r="4" spans="1:19" x14ac:dyDescent="0.25">
      <c r="J4" s="26" t="s">
        <v>160</v>
      </c>
      <c r="K4" s="30">
        <f>SUM(L4:M4)</f>
        <v>57322.211799999983</v>
      </c>
      <c r="L4" s="31">
        <f>SUMIFS(L:L, H:H, "PRODUCCION DE PASTA", O:O, "Cumplido")</f>
        <v>55206.511799999986</v>
      </c>
      <c r="M4" s="32">
        <f>SUMIFS(L:L, H:H, "PRODUCCION DE PASTA", O:O, "Pendiente")</f>
        <v>2115.6999999999998</v>
      </c>
    </row>
    <row r="5" spans="1:19" ht="3.75" customHeight="1" x14ac:dyDescent="0.25">
      <c r="K5" s="27"/>
      <c r="L5" s="27"/>
      <c r="M5" s="27"/>
    </row>
    <row r="6" spans="1:19" x14ac:dyDescent="0.25">
      <c r="J6" s="33" t="s">
        <v>92</v>
      </c>
      <c r="K6" s="34">
        <f>SUM(K3:K5)</f>
        <v>371893.61825161288</v>
      </c>
      <c r="L6" s="34">
        <f>SUM(L3:L5)</f>
        <v>369777.91825161286</v>
      </c>
      <c r="M6" s="35">
        <f>SUM(M3:M5)</f>
        <v>2115.6999999999998</v>
      </c>
    </row>
    <row r="7" spans="1:19" x14ac:dyDescent="0.25">
      <c r="J7" s="26" t="s">
        <v>93</v>
      </c>
      <c r="K7" s="36">
        <f>K6*H1</f>
        <v>576435108.28999996</v>
      </c>
      <c r="L7" s="36">
        <f>L6*H1</f>
        <v>573155773.28999996</v>
      </c>
      <c r="M7" s="37">
        <f>M6*H1</f>
        <v>3279334.9999999995</v>
      </c>
    </row>
    <row r="9" spans="1:19" s="3" customFormat="1" x14ac:dyDescent="0.25">
      <c r="A9" s="3" t="s">
        <v>0</v>
      </c>
      <c r="B9" s="4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5" t="s">
        <v>9</v>
      </c>
      <c r="K9" s="5" t="s">
        <v>51</v>
      </c>
      <c r="L9" s="5" t="s">
        <v>55</v>
      </c>
      <c r="M9" s="4" t="s">
        <v>10</v>
      </c>
      <c r="N9" s="3" t="s">
        <v>11</v>
      </c>
      <c r="O9" s="3" t="s">
        <v>12</v>
      </c>
      <c r="P9" s="3" t="s">
        <v>13</v>
      </c>
      <c r="Q9" s="3" t="s">
        <v>14</v>
      </c>
      <c r="R9" s="3" t="s">
        <v>15</v>
      </c>
      <c r="S9" s="3" t="s">
        <v>16</v>
      </c>
    </row>
    <row r="10" spans="1:19" x14ac:dyDescent="0.25">
      <c r="A10" t="s">
        <v>17</v>
      </c>
      <c r="B10" s="1">
        <v>46041</v>
      </c>
      <c r="C10" t="s">
        <v>18</v>
      </c>
      <c r="D10">
        <v>7350</v>
      </c>
      <c r="E10" t="s">
        <v>19</v>
      </c>
      <c r="F10" t="s">
        <v>27</v>
      </c>
      <c r="G10" t="s">
        <v>21</v>
      </c>
      <c r="H10" t="s">
        <v>83</v>
      </c>
      <c r="I10" s="3" t="str">
        <f>VLOOKUP(Tabla1[[#This Row],[Articulo]],Tabla2[[Descripcion]:[Moneda]],3,FALSE)</f>
        <v>U$D</v>
      </c>
      <c r="J10" s="2">
        <f>VLOOKUP(Tabla1[[#This Row],[Articulo]],Tabla2[],4,FALSE)</f>
        <v>1.6</v>
      </c>
      <c r="K10" s="2">
        <f t="shared" ref="K10:K42" si="0">IF(I10="$", J10/$H$1, IF(I10="U$D", J10*1, 0))</f>
        <v>1.6</v>
      </c>
      <c r="L10" s="2">
        <f>Tabla1[[#This Row],[Importe]]*Tabla1[[#This Row],[Cantidad]]</f>
        <v>11760</v>
      </c>
      <c r="M10" s="1">
        <v>46066</v>
      </c>
      <c r="N10" t="str">
        <f>TEXT(Tabla1[[#This Row],[Fecha Entrega]],"mmmm")</f>
        <v>febrero</v>
      </c>
      <c r="O10" t="s">
        <v>31</v>
      </c>
      <c r="Q10">
        <v>4</v>
      </c>
      <c r="R10">
        <v>7</v>
      </c>
    </row>
    <row r="11" spans="1:19" x14ac:dyDescent="0.25">
      <c r="A11" t="s">
        <v>17</v>
      </c>
      <c r="B11" s="1">
        <v>46041</v>
      </c>
      <c r="C11" t="s">
        <v>18</v>
      </c>
      <c r="D11">
        <v>300</v>
      </c>
      <c r="E11" t="s">
        <v>19</v>
      </c>
      <c r="F11" t="s">
        <v>27</v>
      </c>
      <c r="G11" t="s">
        <v>90</v>
      </c>
      <c r="H11" t="s">
        <v>83</v>
      </c>
      <c r="I11" s="3" t="str">
        <f>VLOOKUP(Tabla1[[#This Row],[Articulo]],Tabla2[[Descripcion]:[Moneda]],3,FALSE)</f>
        <v>U$D</v>
      </c>
      <c r="J11" s="2">
        <f>VLOOKUP(Tabla1[[#This Row],[Articulo]],Tabla2[],4,FALSE)</f>
        <v>1.6</v>
      </c>
      <c r="K11" s="2">
        <f t="shared" si="0"/>
        <v>1.6</v>
      </c>
      <c r="L11" s="2">
        <f>Tabla1[[#This Row],[Importe]]*Tabla1[[#This Row],[Cantidad]]</f>
        <v>480</v>
      </c>
      <c r="M11" s="1">
        <v>46059</v>
      </c>
      <c r="N11" t="str">
        <f>TEXT(Tabla1[[#This Row],[Fecha Entrega]],"mmmm")</f>
        <v>febrero</v>
      </c>
      <c r="O11" t="s">
        <v>31</v>
      </c>
    </row>
    <row r="12" spans="1:19" x14ac:dyDescent="0.25">
      <c r="A12" t="s">
        <v>17</v>
      </c>
      <c r="B12" s="1">
        <v>46041</v>
      </c>
      <c r="C12" t="s">
        <v>18</v>
      </c>
      <c r="D12">
        <v>1020</v>
      </c>
      <c r="E12" t="s">
        <v>19</v>
      </c>
      <c r="F12" t="s">
        <v>27</v>
      </c>
      <c r="G12" t="s">
        <v>37</v>
      </c>
      <c r="H12" t="s">
        <v>83</v>
      </c>
      <c r="I12" s="3" t="str">
        <f>VLOOKUP(Tabla1[[#This Row],[Articulo]],Tabla2[[Descripcion]:[Moneda]],3,FALSE)</f>
        <v>U$D</v>
      </c>
      <c r="J12" s="2">
        <f>VLOOKUP(Tabla1[[#This Row],[Articulo]],Tabla2[],4,FALSE)</f>
        <v>1.6</v>
      </c>
      <c r="K12" s="2">
        <f t="shared" si="0"/>
        <v>1.6</v>
      </c>
      <c r="L12" s="2">
        <f>Tabla1[[#This Row],[Importe]]*Tabla1[[#This Row],[Cantidad]]</f>
        <v>1632</v>
      </c>
      <c r="M12" s="1">
        <v>46066</v>
      </c>
      <c r="N12" t="str">
        <f>TEXT(Tabla1[[#This Row],[Fecha Entrega]],"mmmm")</f>
        <v>febrero</v>
      </c>
      <c r="O12" t="s">
        <v>31</v>
      </c>
    </row>
    <row r="13" spans="1:19" x14ac:dyDescent="0.25">
      <c r="A13" t="s">
        <v>17</v>
      </c>
      <c r="B13" s="1">
        <v>46041</v>
      </c>
      <c r="C13" t="s">
        <v>18</v>
      </c>
      <c r="D13">
        <v>6000</v>
      </c>
      <c r="E13" t="s">
        <v>19</v>
      </c>
      <c r="F13" t="s">
        <v>27</v>
      </c>
      <c r="G13" t="s">
        <v>21</v>
      </c>
      <c r="H13" t="s">
        <v>83</v>
      </c>
      <c r="I13" s="3" t="str">
        <f>VLOOKUP(Tabla1[[#This Row],[Articulo]],Tabla2[[Descripcion]:[Moneda]],3,FALSE)</f>
        <v>U$D</v>
      </c>
      <c r="J13" s="2">
        <f>VLOOKUP(Tabla1[[#This Row],[Articulo]],Tabla2[],4,FALSE)</f>
        <v>1.6</v>
      </c>
      <c r="K13" s="2">
        <f t="shared" si="0"/>
        <v>1.6</v>
      </c>
      <c r="L13" s="2">
        <f>Tabla1[[#This Row],[Importe]]*Tabla1[[#This Row],[Cantidad]]</f>
        <v>9600</v>
      </c>
      <c r="M13" s="1">
        <v>46102</v>
      </c>
      <c r="N13" t="str">
        <f>TEXT(Tabla1[[#This Row],[Fecha Entrega]],"mmmm")</f>
        <v>marzo</v>
      </c>
      <c r="O13" t="s">
        <v>31</v>
      </c>
      <c r="Q13">
        <v>4</v>
      </c>
      <c r="R13">
        <v>8</v>
      </c>
    </row>
    <row r="14" spans="1:19" x14ac:dyDescent="0.25">
      <c r="A14" t="s">
        <v>17</v>
      </c>
      <c r="B14" s="1">
        <v>46041</v>
      </c>
      <c r="C14" t="s">
        <v>18</v>
      </c>
      <c r="D14">
        <v>6000</v>
      </c>
      <c r="E14" t="s">
        <v>19</v>
      </c>
      <c r="F14" t="s">
        <v>27</v>
      </c>
      <c r="G14" t="s">
        <v>37</v>
      </c>
      <c r="H14" t="s">
        <v>83</v>
      </c>
      <c r="I14" s="3" t="str">
        <f>VLOOKUP(Tabla1[[#This Row],[Articulo]],Tabla2[[Descripcion]:[Moneda]],3,FALSE)</f>
        <v>U$D</v>
      </c>
      <c r="J14" s="2">
        <f>VLOOKUP(Tabla1[[#This Row],[Articulo]],Tabla2[],4,FALSE)</f>
        <v>1.6</v>
      </c>
      <c r="K14" s="2">
        <f t="shared" si="0"/>
        <v>1.6</v>
      </c>
      <c r="L14" s="2">
        <f>Tabla1[[#This Row],[Importe]]*Tabla1[[#This Row],[Cantidad]]</f>
        <v>9600</v>
      </c>
      <c r="M14" s="1">
        <v>46108</v>
      </c>
      <c r="N14" t="str">
        <f>TEXT(Tabla1[[#This Row],[Fecha Entrega]],"mmmm")</f>
        <v>marzo</v>
      </c>
      <c r="O14" t="s">
        <v>31</v>
      </c>
      <c r="P14" t="s">
        <v>134</v>
      </c>
      <c r="Q14">
        <v>4</v>
      </c>
      <c r="R14">
        <v>11</v>
      </c>
    </row>
    <row r="15" spans="1:19" x14ac:dyDescent="0.25">
      <c r="A15" t="s">
        <v>17</v>
      </c>
      <c r="B15" s="1">
        <v>46041</v>
      </c>
      <c r="C15" t="s">
        <v>18</v>
      </c>
      <c r="D15">
        <v>6000</v>
      </c>
      <c r="E15" t="s">
        <v>19</v>
      </c>
      <c r="F15" t="s">
        <v>27</v>
      </c>
      <c r="G15" t="s">
        <v>37</v>
      </c>
      <c r="H15" t="s">
        <v>83</v>
      </c>
      <c r="I15" s="3" t="str">
        <f>VLOOKUP(Tabla1[[#This Row],[Articulo]],Tabla2[[Descripcion]:[Moneda]],3,FALSE)</f>
        <v>U$D</v>
      </c>
      <c r="J15" s="2">
        <f>VLOOKUP(Tabla1[[#This Row],[Articulo]],Tabla2[],4,FALSE)</f>
        <v>1.6</v>
      </c>
      <c r="K15" s="2">
        <f t="shared" si="0"/>
        <v>1.6</v>
      </c>
      <c r="L15" s="2">
        <f>Tabla1[[#This Row],[Importe]]*Tabla1[[#This Row],[Cantidad]]</f>
        <v>9600</v>
      </c>
      <c r="M15" s="1">
        <v>46153</v>
      </c>
      <c r="N15" t="str">
        <f>TEXT(Tabla1[[#This Row],[Fecha Entrega]],"mmmm")</f>
        <v>mayo</v>
      </c>
      <c r="O15" t="s">
        <v>31</v>
      </c>
      <c r="P15" t="s">
        <v>166</v>
      </c>
    </row>
    <row r="16" spans="1:19" x14ac:dyDescent="0.25">
      <c r="A16" t="s">
        <v>17</v>
      </c>
      <c r="B16" s="1">
        <v>46126</v>
      </c>
      <c r="C16" t="s">
        <v>18</v>
      </c>
      <c r="D16">
        <v>4800</v>
      </c>
      <c r="E16" t="s">
        <v>19</v>
      </c>
      <c r="F16" t="s">
        <v>27</v>
      </c>
      <c r="G16" t="s">
        <v>37</v>
      </c>
      <c r="H16" t="s">
        <v>83</v>
      </c>
      <c r="I16" s="3" t="str">
        <f>VLOOKUP(Tabla1[[#This Row],[Articulo]],Tabla2[[Descripcion]:[Moneda]],3,FALSE)</f>
        <v>U$D</v>
      </c>
      <c r="J16" s="2">
        <f>VLOOKUP(Tabla1[[#This Row],[Articulo]],Tabla2[],4,FALSE)</f>
        <v>1.6</v>
      </c>
      <c r="K16" s="2">
        <f t="shared" si="0"/>
        <v>1.6</v>
      </c>
      <c r="L16" s="2">
        <f>Tabla1[[#This Row],[Importe]]*Tabla1[[#This Row],[Cantidad]]</f>
        <v>7680</v>
      </c>
      <c r="M16" s="1">
        <v>46128</v>
      </c>
      <c r="N16" t="str">
        <f>TEXT(Tabla1[[#This Row],[Fecha Entrega]],"mmmm")</f>
        <v>abril</v>
      </c>
      <c r="O16" t="s">
        <v>31</v>
      </c>
      <c r="P16" t="s">
        <v>149</v>
      </c>
    </row>
    <row r="17" spans="1:19" x14ac:dyDescent="0.25">
      <c r="A17" t="s">
        <v>17</v>
      </c>
      <c r="B17" s="1">
        <v>46041</v>
      </c>
      <c r="C17" t="s">
        <v>18</v>
      </c>
      <c r="D17">
        <v>200</v>
      </c>
      <c r="E17" t="s">
        <v>19</v>
      </c>
      <c r="F17" t="s">
        <v>35</v>
      </c>
      <c r="H17" t="s">
        <v>83</v>
      </c>
      <c r="I17" s="3" t="str">
        <f>VLOOKUP(Tabla1[[#This Row],[Articulo]],Tabla2[[Descripcion]:[Moneda]],3,FALSE)</f>
        <v>U$D</v>
      </c>
      <c r="J17" s="2">
        <f>VLOOKUP(Tabla1[[#This Row],[Articulo]],Tabla2[],4,FALSE)</f>
        <v>4.0999999999999996</v>
      </c>
      <c r="K17" s="2">
        <f t="shared" si="0"/>
        <v>4.0999999999999996</v>
      </c>
      <c r="L17" s="2">
        <f>Tabla1[[#This Row],[Importe]]*Tabla1[[#This Row],[Cantidad]]</f>
        <v>819.99999999999989</v>
      </c>
      <c r="M17" s="1">
        <v>46102</v>
      </c>
      <c r="N17" t="str">
        <f>TEXT(Tabla1[[#This Row],[Fecha Entrega]],"mmmm")</f>
        <v>marzo</v>
      </c>
      <c r="O17" t="s">
        <v>31</v>
      </c>
      <c r="Q17">
        <v>4</v>
      </c>
      <c r="R17">
        <v>7</v>
      </c>
    </row>
    <row r="18" spans="1:19" x14ac:dyDescent="0.25">
      <c r="A18" t="s">
        <v>17</v>
      </c>
      <c r="B18" s="1">
        <v>46041</v>
      </c>
      <c r="C18" t="s">
        <v>18</v>
      </c>
      <c r="D18">
        <v>1500</v>
      </c>
      <c r="E18" t="s">
        <v>19</v>
      </c>
      <c r="F18" t="s">
        <v>36</v>
      </c>
      <c r="H18" t="s">
        <v>83</v>
      </c>
      <c r="I18" s="3" t="str">
        <f>VLOOKUP(Tabla1[[#This Row],[Articulo]],Tabla2[[Descripcion]:[Moneda]],3,FALSE)</f>
        <v>U$D</v>
      </c>
      <c r="J18" s="2">
        <f>VLOOKUP(Tabla1[[#This Row],[Articulo]],Tabla2[],4,FALSE)</f>
        <v>1.55</v>
      </c>
      <c r="K18" s="2">
        <f t="shared" si="0"/>
        <v>1.55</v>
      </c>
      <c r="L18" s="2">
        <f>Tabla1[[#This Row],[Importe]]*Tabla1[[#This Row],[Cantidad]]</f>
        <v>2325</v>
      </c>
      <c r="M18" s="1">
        <v>46102</v>
      </c>
      <c r="N18" t="str">
        <f>TEXT(Tabla1[[#This Row],[Fecha Entrega]],"mmmm")</f>
        <v>marzo</v>
      </c>
      <c r="O18" t="s">
        <v>31</v>
      </c>
      <c r="Q18">
        <v>4</v>
      </c>
      <c r="R18">
        <v>7</v>
      </c>
    </row>
    <row r="19" spans="1:19" x14ac:dyDescent="0.25">
      <c r="A19" t="s">
        <v>17</v>
      </c>
      <c r="B19" s="1">
        <v>46041</v>
      </c>
      <c r="C19" t="s">
        <v>18</v>
      </c>
      <c r="D19">
        <v>1500</v>
      </c>
      <c r="E19" t="s">
        <v>19</v>
      </c>
      <c r="F19" t="s">
        <v>36</v>
      </c>
      <c r="G19" t="s">
        <v>37</v>
      </c>
      <c r="H19" t="s">
        <v>83</v>
      </c>
      <c r="I19" s="3" t="str">
        <f>VLOOKUP(Tabla1[[#This Row],[Articulo]],Tabla2[[Descripcion]:[Moneda]],3,FALSE)</f>
        <v>U$D</v>
      </c>
      <c r="J19" s="2">
        <f>VLOOKUP(Tabla1[[#This Row],[Articulo]],Tabla2[],4,FALSE)</f>
        <v>1.55</v>
      </c>
      <c r="K19" s="2">
        <f t="shared" si="0"/>
        <v>1.55</v>
      </c>
      <c r="L19" s="2">
        <f>Tabla1[[#This Row],[Importe]]*Tabla1[[#This Row],[Cantidad]]</f>
        <v>2325</v>
      </c>
      <c r="M19" s="1">
        <v>46111</v>
      </c>
      <c r="N19" t="str">
        <f>TEXT(Tabla1[[#This Row],[Fecha Entrega]],"mmmm")</f>
        <v>marzo</v>
      </c>
      <c r="O19" t="s">
        <v>31</v>
      </c>
      <c r="P19" t="s">
        <v>134</v>
      </c>
      <c r="Q19">
        <v>4</v>
      </c>
      <c r="R19">
        <v>11</v>
      </c>
    </row>
    <row r="20" spans="1:19" x14ac:dyDescent="0.25">
      <c r="A20" t="s">
        <v>17</v>
      </c>
      <c r="B20" s="1">
        <v>46041</v>
      </c>
      <c r="C20" t="s">
        <v>18</v>
      </c>
      <c r="D20">
        <v>10000</v>
      </c>
      <c r="E20" t="s">
        <v>19</v>
      </c>
      <c r="F20" t="s">
        <v>26</v>
      </c>
      <c r="G20" t="s">
        <v>21</v>
      </c>
      <c r="H20" t="s">
        <v>83</v>
      </c>
      <c r="I20" s="3" t="str">
        <f>VLOOKUP(Tabla1[[#This Row],[Articulo]],Tabla2[[Descripcion]:[Moneda]],3,FALSE)</f>
        <v>U$D</v>
      </c>
      <c r="J20" s="2">
        <f>VLOOKUP(Tabla1[[#This Row],[Articulo]],Tabla2[],4,FALSE)</f>
        <v>0.34</v>
      </c>
      <c r="K20" s="2">
        <f t="shared" si="0"/>
        <v>0.34</v>
      </c>
      <c r="L20" s="2">
        <f>Tabla1[[#This Row],[Importe]]*Tabla1[[#This Row],[Cantidad]]</f>
        <v>3400.0000000000005</v>
      </c>
      <c r="M20" s="1">
        <v>46066</v>
      </c>
      <c r="N20" t="str">
        <f>TEXT(Tabla1[[#This Row],[Fecha Entrega]],"mmmm")</f>
        <v>febrero</v>
      </c>
      <c r="O20" t="s">
        <v>31</v>
      </c>
      <c r="Q20">
        <v>4</v>
      </c>
      <c r="R20">
        <v>7</v>
      </c>
    </row>
    <row r="21" spans="1:19" x14ac:dyDescent="0.25">
      <c r="A21" t="s">
        <v>17</v>
      </c>
      <c r="B21" s="1">
        <v>46041</v>
      </c>
      <c r="C21" t="s">
        <v>18</v>
      </c>
      <c r="D21">
        <v>7000</v>
      </c>
      <c r="E21" t="s">
        <v>19</v>
      </c>
      <c r="F21" t="s">
        <v>26</v>
      </c>
      <c r="G21" t="s">
        <v>21</v>
      </c>
      <c r="H21" t="s">
        <v>83</v>
      </c>
      <c r="I21" s="3" t="str">
        <f>VLOOKUP(Tabla1[[#This Row],[Articulo]],Tabla2[[Descripcion]:[Moneda]],3,FALSE)</f>
        <v>U$D</v>
      </c>
      <c r="J21" s="2">
        <f>VLOOKUP(Tabla1[[#This Row],[Articulo]],Tabla2[],4,FALSE)</f>
        <v>0.34</v>
      </c>
      <c r="K21" s="2">
        <f t="shared" si="0"/>
        <v>0.34</v>
      </c>
      <c r="L21" s="2">
        <f>Tabla1[[#This Row],[Importe]]*Tabla1[[#This Row],[Cantidad]]</f>
        <v>2380</v>
      </c>
      <c r="M21" s="1">
        <v>46034</v>
      </c>
      <c r="N21" t="str">
        <f>TEXT(Tabla1[[#This Row],[Fecha Entrega]],"mmmm")</f>
        <v>enero</v>
      </c>
      <c r="O21" t="s">
        <v>31</v>
      </c>
      <c r="Q21">
        <v>4</v>
      </c>
      <c r="R21">
        <v>3</v>
      </c>
      <c r="S21" t="s">
        <v>33</v>
      </c>
    </row>
    <row r="22" spans="1:19" x14ac:dyDescent="0.25">
      <c r="A22" t="s">
        <v>17</v>
      </c>
      <c r="B22" s="1">
        <v>46041</v>
      </c>
      <c r="C22" t="s">
        <v>18</v>
      </c>
      <c r="D22">
        <v>2000</v>
      </c>
      <c r="E22" t="s">
        <v>19</v>
      </c>
      <c r="F22" t="s">
        <v>26</v>
      </c>
      <c r="G22" t="s">
        <v>21</v>
      </c>
      <c r="H22" t="s">
        <v>83</v>
      </c>
      <c r="I22" s="3" t="str">
        <f>VLOOKUP(Tabla1[[#This Row],[Articulo]],Tabla2[[Descripcion]:[Moneda]],3,FALSE)</f>
        <v>U$D</v>
      </c>
      <c r="J22" s="2">
        <f>VLOOKUP(Tabla1[[#This Row],[Articulo]],Tabla2[],4,FALSE)</f>
        <v>0.34</v>
      </c>
      <c r="K22" s="2">
        <f t="shared" si="0"/>
        <v>0.34</v>
      </c>
      <c r="L22" s="2">
        <f>Tabla1[[#This Row],[Importe]]*Tabla1[[#This Row],[Cantidad]]</f>
        <v>680</v>
      </c>
      <c r="M22" s="1">
        <v>46094</v>
      </c>
      <c r="N22" t="str">
        <f>TEXT(Tabla1[[#This Row],[Fecha Entrega]],"mmmm")</f>
        <v>marzo</v>
      </c>
      <c r="O22" t="s">
        <v>31</v>
      </c>
      <c r="Q22">
        <v>4</v>
      </c>
      <c r="R22">
        <v>7</v>
      </c>
    </row>
    <row r="23" spans="1:19" x14ac:dyDescent="0.25">
      <c r="A23" t="s">
        <v>17</v>
      </c>
      <c r="B23" s="1">
        <v>46041</v>
      </c>
      <c r="C23" t="s">
        <v>18</v>
      </c>
      <c r="D23">
        <v>8000</v>
      </c>
      <c r="E23" t="s">
        <v>19</v>
      </c>
      <c r="F23" t="s">
        <v>26</v>
      </c>
      <c r="G23" t="s">
        <v>137</v>
      </c>
      <c r="H23" t="s">
        <v>83</v>
      </c>
      <c r="I23" s="3" t="str">
        <f>VLOOKUP(Tabla1[[#This Row],[Articulo]],Tabla2[[Descripcion]:[Moneda]],3,FALSE)</f>
        <v>U$D</v>
      </c>
      <c r="J23" s="2">
        <f>VLOOKUP(Tabla1[[#This Row],[Articulo]],Tabla2[],4,FALSE)</f>
        <v>0.34</v>
      </c>
      <c r="K23" s="2">
        <f t="shared" si="0"/>
        <v>0.34</v>
      </c>
      <c r="L23" s="2">
        <f>Tabla1[[#This Row],[Importe]]*Tabla1[[#This Row],[Cantidad]]</f>
        <v>2720</v>
      </c>
      <c r="M23" s="1">
        <v>46111</v>
      </c>
      <c r="N23" t="str">
        <f>TEXT(Tabla1[[#This Row],[Fecha Entrega]],"mmmm")</f>
        <v>marzo</v>
      </c>
      <c r="O23" t="s">
        <v>31</v>
      </c>
      <c r="P23" t="s">
        <v>136</v>
      </c>
      <c r="Q23">
        <v>4</v>
      </c>
      <c r="R23">
        <v>11</v>
      </c>
    </row>
    <row r="24" spans="1:19" x14ac:dyDescent="0.25">
      <c r="A24" t="s">
        <v>17</v>
      </c>
      <c r="B24" s="1">
        <v>46041</v>
      </c>
      <c r="C24" t="s">
        <v>18</v>
      </c>
      <c r="D24">
        <v>4000</v>
      </c>
      <c r="E24" t="s">
        <v>19</v>
      </c>
      <c r="F24" t="s">
        <v>26</v>
      </c>
      <c r="G24" t="s">
        <v>137</v>
      </c>
      <c r="H24" t="s">
        <v>83</v>
      </c>
      <c r="I24" s="3" t="str">
        <f>VLOOKUP(Tabla1[[#This Row],[Articulo]],Tabla2[[Descripcion]:[Moneda]],3,FALSE)</f>
        <v>U$D</v>
      </c>
      <c r="J24" s="2">
        <f>VLOOKUP(Tabla1[[#This Row],[Articulo]],Tabla2[],4,FALSE)</f>
        <v>0.34</v>
      </c>
      <c r="K24" s="2">
        <f t="shared" si="0"/>
        <v>0.34</v>
      </c>
      <c r="L24" s="2">
        <f>Tabla1[[#This Row],[Importe]]*Tabla1[[#This Row],[Cantidad]]</f>
        <v>1360</v>
      </c>
      <c r="M24" s="1">
        <v>46111</v>
      </c>
      <c r="N24" t="str">
        <f>TEXT(Tabla1[[#This Row],[Fecha Entrega]],"mmmm")</f>
        <v>marzo</v>
      </c>
      <c r="O24" t="s">
        <v>31</v>
      </c>
      <c r="P24" t="s">
        <v>136</v>
      </c>
      <c r="Q24">
        <v>4</v>
      </c>
      <c r="R24">
        <v>15</v>
      </c>
    </row>
    <row r="25" spans="1:19" x14ac:dyDescent="0.25">
      <c r="A25" t="s">
        <v>17</v>
      </c>
      <c r="B25" s="1">
        <v>46126</v>
      </c>
      <c r="C25" t="s">
        <v>18</v>
      </c>
      <c r="D25">
        <v>12000</v>
      </c>
      <c r="E25" t="s">
        <v>19</v>
      </c>
      <c r="F25" t="s">
        <v>26</v>
      </c>
      <c r="G25" t="s">
        <v>137</v>
      </c>
      <c r="H25" t="s">
        <v>83</v>
      </c>
      <c r="I25" s="3" t="str">
        <f>VLOOKUP(Tabla1[[#This Row],[Articulo]],Tabla2[[Descripcion]:[Moneda]],3,FALSE)</f>
        <v>U$D</v>
      </c>
      <c r="J25" s="2">
        <f>VLOOKUP(Tabla1[[#This Row],[Articulo]],Tabla2[],4,FALSE)</f>
        <v>0.34</v>
      </c>
      <c r="K25" s="2">
        <f t="shared" si="0"/>
        <v>0.34</v>
      </c>
      <c r="L25" s="2">
        <f>Tabla1[[#This Row],[Importe]]*Tabla1[[#This Row],[Cantidad]]</f>
        <v>4080.0000000000005</v>
      </c>
      <c r="M25" s="1">
        <v>46128</v>
      </c>
      <c r="N25" t="str">
        <f>TEXT(Tabla1[[#This Row],[Fecha Entrega]],"mmmm")</f>
        <v>abril</v>
      </c>
      <c r="O25" t="s">
        <v>31</v>
      </c>
      <c r="P25" t="s">
        <v>148</v>
      </c>
    </row>
    <row r="26" spans="1:19" x14ac:dyDescent="0.25">
      <c r="A26" t="s">
        <v>17</v>
      </c>
      <c r="B26" s="1">
        <v>46127</v>
      </c>
      <c r="C26" t="s">
        <v>18</v>
      </c>
      <c r="D26">
        <v>1200</v>
      </c>
      <c r="E26" t="s">
        <v>19</v>
      </c>
      <c r="F26" t="s">
        <v>26</v>
      </c>
      <c r="G26" t="s">
        <v>90</v>
      </c>
      <c r="H26" t="s">
        <v>83</v>
      </c>
      <c r="I26" s="3" t="str">
        <f>VLOOKUP(Tabla1[[#This Row],[Articulo]],Tabla2[[Descripcion]:[Moneda]],3,FALSE)</f>
        <v>U$D</v>
      </c>
      <c r="J26" s="2">
        <f>VLOOKUP(Tabla1[[#This Row],[Articulo]],Tabla2[],4,FALSE)</f>
        <v>0.34</v>
      </c>
      <c r="K26" s="2">
        <f t="shared" si="0"/>
        <v>0.34</v>
      </c>
      <c r="L26" s="2">
        <f>Tabla1[[#This Row],[Importe]]*Tabla1[[#This Row],[Cantidad]]</f>
        <v>408.00000000000006</v>
      </c>
      <c r="M26" s="1">
        <v>46158</v>
      </c>
      <c r="N26" t="str">
        <f>TEXT(Tabla1[[#This Row],[Fecha Entrega]],"mmmm")</f>
        <v>mayo</v>
      </c>
      <c r="O26" t="s">
        <v>31</v>
      </c>
      <c r="P26" t="s">
        <v>169</v>
      </c>
    </row>
    <row r="27" spans="1:19" x14ac:dyDescent="0.25">
      <c r="A27" t="s">
        <v>17</v>
      </c>
      <c r="B27" s="1">
        <v>46128</v>
      </c>
      <c r="C27" t="s">
        <v>18</v>
      </c>
      <c r="D27">
        <v>1200</v>
      </c>
      <c r="E27" t="s">
        <v>19</v>
      </c>
      <c r="F27" t="s">
        <v>26</v>
      </c>
      <c r="G27" t="s">
        <v>90</v>
      </c>
      <c r="H27" t="s">
        <v>83</v>
      </c>
      <c r="I27" s="3" t="str">
        <f>VLOOKUP(Tabla1[[#This Row],[Articulo]],Tabla2[[Descripcion]:[Moneda]],3,FALSE)</f>
        <v>U$D</v>
      </c>
      <c r="J27" s="2">
        <f>VLOOKUP(Tabla1[[#This Row],[Articulo]],Tabla2[],4,FALSE)</f>
        <v>0.34</v>
      </c>
      <c r="K27" s="2">
        <f t="shared" si="0"/>
        <v>0.34</v>
      </c>
      <c r="L27" s="2">
        <f>Tabla1[[#This Row],[Importe]]*Tabla1[[#This Row],[Cantidad]]</f>
        <v>408.00000000000006</v>
      </c>
      <c r="M27" s="1">
        <v>46170</v>
      </c>
      <c r="N27" t="str">
        <f>TEXT(Tabla1[[#This Row],[Fecha Entrega]],"mmmm")</f>
        <v>mayo</v>
      </c>
      <c r="O27" t="s">
        <v>31</v>
      </c>
      <c r="P27" t="s">
        <v>172</v>
      </c>
    </row>
    <row r="28" spans="1:19" x14ac:dyDescent="0.25">
      <c r="A28" t="s">
        <v>17</v>
      </c>
      <c r="B28" s="1">
        <v>46129</v>
      </c>
      <c r="C28" t="s">
        <v>18</v>
      </c>
      <c r="D28">
        <v>500</v>
      </c>
      <c r="E28" t="s">
        <v>19</v>
      </c>
      <c r="F28" t="s">
        <v>26</v>
      </c>
      <c r="G28" t="s">
        <v>90</v>
      </c>
      <c r="H28" t="s">
        <v>83</v>
      </c>
      <c r="I28" s="3" t="str">
        <f>VLOOKUP(Tabla1[[#This Row],[Articulo]],Tabla2[[Descripcion]:[Moneda]],3,FALSE)</f>
        <v>U$D</v>
      </c>
      <c r="J28" s="2">
        <f>VLOOKUP(Tabla1[[#This Row],[Articulo]],Tabla2[],4,FALSE)</f>
        <v>0.34</v>
      </c>
      <c r="K28" s="2">
        <f>IF(I28="$", J28/$H$1, IF(I28="U$D", J28*1, 0))</f>
        <v>0.34</v>
      </c>
      <c r="L28" s="2">
        <f>Tabla1[[#This Row],[Importe]]*Tabla1[[#This Row],[Cantidad]]</f>
        <v>170</v>
      </c>
      <c r="M28" s="1">
        <v>46290</v>
      </c>
      <c r="N28" t="str">
        <f>TEXT(Tabla1[[#This Row],[Fecha Entrega]],"mmmm")</f>
        <v>septiembre</v>
      </c>
      <c r="O28" t="s">
        <v>31</v>
      </c>
      <c r="P28" t="s">
        <v>188</v>
      </c>
    </row>
    <row r="29" spans="1:19" x14ac:dyDescent="0.25">
      <c r="A29" t="s">
        <v>17</v>
      </c>
      <c r="B29" s="1">
        <v>46041</v>
      </c>
      <c r="C29" t="s">
        <v>18</v>
      </c>
      <c r="D29">
        <v>5000</v>
      </c>
      <c r="E29" t="s">
        <v>19</v>
      </c>
      <c r="F29" t="s">
        <v>20</v>
      </c>
      <c r="G29" t="s">
        <v>21</v>
      </c>
      <c r="H29" t="s">
        <v>83</v>
      </c>
      <c r="I29" s="3" t="str">
        <f>VLOOKUP(Tabla1[[#This Row],[Articulo]],Tabla2[[Descripcion]:[Moneda]],3,FALSE)</f>
        <v>U$D</v>
      </c>
      <c r="J29" s="2">
        <f>VLOOKUP(Tabla1[[#This Row],[Articulo]],Tabla2[],4,FALSE)</f>
        <v>2.4500000000000002</v>
      </c>
      <c r="K29" s="2">
        <f t="shared" si="0"/>
        <v>2.4500000000000002</v>
      </c>
      <c r="L29" s="2">
        <f>Tabla1[[#This Row],[Importe]]*Tabla1[[#This Row],[Cantidad]]</f>
        <v>12250</v>
      </c>
      <c r="M29" s="1">
        <v>46063</v>
      </c>
      <c r="N29" t="str">
        <f>TEXT(Tabla1[[#This Row],[Fecha Entrega]],"mmmm")</f>
        <v>febrero</v>
      </c>
      <c r="O29" t="s">
        <v>31</v>
      </c>
      <c r="Q29">
        <v>4</v>
      </c>
      <c r="R29">
        <v>7</v>
      </c>
    </row>
    <row r="30" spans="1:19" x14ac:dyDescent="0.25">
      <c r="A30" t="s">
        <v>17</v>
      </c>
      <c r="B30" s="1">
        <v>46041</v>
      </c>
      <c r="C30" t="s">
        <v>18</v>
      </c>
      <c r="D30">
        <v>1000</v>
      </c>
      <c r="E30" t="s">
        <v>19</v>
      </c>
      <c r="F30" t="s">
        <v>20</v>
      </c>
      <c r="G30" t="s">
        <v>37</v>
      </c>
      <c r="H30" t="s">
        <v>83</v>
      </c>
      <c r="I30" s="3" t="str">
        <f>VLOOKUP(Tabla1[[#This Row],[Articulo]],Tabla2[[Descripcion]:[Moneda]],3,FALSE)</f>
        <v>U$D</v>
      </c>
      <c r="J30" s="2">
        <f>VLOOKUP(Tabla1[[#This Row],[Articulo]],Tabla2[],4,FALSE)</f>
        <v>2.4500000000000002</v>
      </c>
      <c r="K30" s="2">
        <f t="shared" si="0"/>
        <v>2.4500000000000002</v>
      </c>
      <c r="L30" s="2">
        <f>Tabla1[[#This Row],[Importe]]*Tabla1[[#This Row],[Cantidad]]</f>
        <v>2450</v>
      </c>
      <c r="M30" s="1">
        <v>46111</v>
      </c>
      <c r="N30" t="str">
        <f>TEXT(Tabla1[[#This Row],[Fecha Entrega]],"mmmm")</f>
        <v>marzo</v>
      </c>
      <c r="O30" t="s">
        <v>31</v>
      </c>
      <c r="P30" t="s">
        <v>134</v>
      </c>
      <c r="Q30">
        <v>4</v>
      </c>
      <c r="R30">
        <v>11</v>
      </c>
    </row>
    <row r="31" spans="1:19" x14ac:dyDescent="0.25">
      <c r="A31" t="s">
        <v>17</v>
      </c>
      <c r="B31" s="1">
        <v>46044</v>
      </c>
      <c r="C31" t="s">
        <v>18</v>
      </c>
      <c r="D31">
        <v>1000</v>
      </c>
      <c r="E31" t="s">
        <v>19</v>
      </c>
      <c r="F31" t="s">
        <v>47</v>
      </c>
      <c r="G31" t="s">
        <v>89</v>
      </c>
      <c r="H31" t="s">
        <v>52</v>
      </c>
      <c r="I31" s="3" t="str">
        <f>VLOOKUP(Tabla1[[#This Row],[Articulo]],Tabla2[[Descripcion]:[Moneda]],3,FALSE)</f>
        <v>U$D</v>
      </c>
      <c r="J31" s="2">
        <f>VLOOKUP(Tabla1[[#This Row],[Articulo]],Tabla2[],4,FALSE)</f>
        <v>12.7</v>
      </c>
      <c r="K31" s="2">
        <f t="shared" si="0"/>
        <v>12.7</v>
      </c>
      <c r="L31" s="2">
        <f>Tabla1[[#This Row],[Importe]]*Tabla1[[#This Row],[Cantidad]]</f>
        <v>12700</v>
      </c>
      <c r="M31" s="1">
        <v>46184</v>
      </c>
      <c r="N31" t="str">
        <f>TEXT(Tabla1[[#This Row],[Fecha Entrega]],"mmmm")</f>
        <v>junio</v>
      </c>
      <c r="O31" t="s">
        <v>31</v>
      </c>
      <c r="P31" t="s">
        <v>176</v>
      </c>
      <c r="Q31">
        <v>4</v>
      </c>
      <c r="R31">
        <v>7</v>
      </c>
    </row>
    <row r="32" spans="1:19" x14ac:dyDescent="0.25">
      <c r="A32" t="s">
        <v>17</v>
      </c>
      <c r="B32" s="1">
        <v>44948</v>
      </c>
      <c r="C32" t="s">
        <v>18</v>
      </c>
      <c r="D32">
        <v>500</v>
      </c>
      <c r="E32" t="s">
        <v>19</v>
      </c>
      <c r="F32" t="s">
        <v>50</v>
      </c>
      <c r="H32" t="s">
        <v>52</v>
      </c>
      <c r="I32" s="3" t="str">
        <f>VLOOKUP(Tabla1[[#This Row],[Articulo]],Tabla2[[Descripcion]:[Moneda]],3,FALSE)</f>
        <v>U$D</v>
      </c>
      <c r="J32" s="2">
        <f>VLOOKUP(Tabla1[[#This Row],[Articulo]],Tabla2[],4,FALSE)</f>
        <v>2.8</v>
      </c>
      <c r="K32" s="2">
        <f t="shared" si="0"/>
        <v>2.8</v>
      </c>
      <c r="L32" s="2">
        <f>Tabla1[[#This Row],[Importe]]*Tabla1[[#This Row],[Cantidad]]</f>
        <v>1400</v>
      </c>
      <c r="M32" s="1">
        <v>46102</v>
      </c>
      <c r="N32" t="str">
        <f>TEXT(Tabla1[[#This Row],[Fecha Entrega]],"mmmm")</f>
        <v>marzo</v>
      </c>
      <c r="O32" t="s">
        <v>31</v>
      </c>
      <c r="Q32">
        <v>4</v>
      </c>
      <c r="R32">
        <v>10</v>
      </c>
    </row>
    <row r="33" spans="1:18" x14ac:dyDescent="0.25">
      <c r="A33" t="s">
        <v>17</v>
      </c>
      <c r="B33" s="1">
        <v>44948</v>
      </c>
      <c r="C33" t="s">
        <v>18</v>
      </c>
      <c r="D33">
        <v>400</v>
      </c>
      <c r="E33" t="s">
        <v>19</v>
      </c>
      <c r="F33" t="s">
        <v>50</v>
      </c>
      <c r="G33" t="s">
        <v>37</v>
      </c>
      <c r="H33" t="s">
        <v>52</v>
      </c>
      <c r="I33" s="3" t="str">
        <f>VLOOKUP(Tabla1[[#This Row],[Articulo]],Tabla2[[Descripcion]:[Moneda]],3,FALSE)</f>
        <v>U$D</v>
      </c>
      <c r="J33" s="2">
        <f>VLOOKUP(Tabla1[[#This Row],[Articulo]],Tabla2[],4,FALSE)</f>
        <v>2.8</v>
      </c>
      <c r="K33" s="2">
        <f t="shared" si="0"/>
        <v>2.8</v>
      </c>
      <c r="L33" s="2">
        <f>Tabla1[[#This Row],[Importe]]*Tabla1[[#This Row],[Cantidad]]</f>
        <v>1120</v>
      </c>
      <c r="M33" s="1">
        <v>46128</v>
      </c>
      <c r="N33" t="str">
        <f>TEXT(Tabla1[[#This Row],[Fecha Entrega]],"mmmm")</f>
        <v>abril</v>
      </c>
      <c r="O33" t="s">
        <v>31</v>
      </c>
      <c r="P33" t="s">
        <v>149</v>
      </c>
    </row>
    <row r="34" spans="1:18" x14ac:dyDescent="0.25">
      <c r="A34" t="s">
        <v>17</v>
      </c>
      <c r="B34" s="1">
        <v>44948</v>
      </c>
      <c r="C34" t="s">
        <v>18</v>
      </c>
      <c r="D34">
        <v>1500</v>
      </c>
      <c r="E34" t="s">
        <v>19</v>
      </c>
      <c r="F34" t="s">
        <v>50</v>
      </c>
      <c r="G34" t="s">
        <v>37</v>
      </c>
      <c r="H34" t="s">
        <v>52</v>
      </c>
      <c r="I34" s="3" t="str">
        <f>VLOOKUP(Tabla1[[#This Row],[Articulo]],Tabla2[[Descripcion]:[Moneda]],3,FALSE)</f>
        <v>U$D</v>
      </c>
      <c r="J34" s="2">
        <f>VLOOKUP(Tabla1[[#This Row],[Articulo]],Tabla2[],4,FALSE)</f>
        <v>2.8</v>
      </c>
      <c r="K34" s="2">
        <f t="shared" si="0"/>
        <v>2.8</v>
      </c>
      <c r="L34" s="2">
        <f>Tabla1[[#This Row],[Importe]]*Tabla1[[#This Row],[Cantidad]]</f>
        <v>4200</v>
      </c>
      <c r="M34" s="1">
        <v>46148</v>
      </c>
      <c r="N34" t="str">
        <f>TEXT(Tabla1[[#This Row],[Fecha Entrega]],"mmmm")</f>
        <v>mayo</v>
      </c>
      <c r="O34" t="s">
        <v>31</v>
      </c>
      <c r="P34" t="s">
        <v>163</v>
      </c>
    </row>
    <row r="35" spans="1:18" x14ac:dyDescent="0.25">
      <c r="A35" t="s">
        <v>17</v>
      </c>
      <c r="B35" s="1">
        <v>46044</v>
      </c>
      <c r="C35" t="s">
        <v>18</v>
      </c>
      <c r="D35">
        <v>3750</v>
      </c>
      <c r="E35" t="s">
        <v>19</v>
      </c>
      <c r="F35" t="s">
        <v>44</v>
      </c>
      <c r="H35" t="s">
        <v>52</v>
      </c>
      <c r="I35" s="3" t="str">
        <f>VLOOKUP(Tabla1[[#This Row],[Articulo]],Tabla2[[Descripcion]:[Moneda]],3,FALSE)</f>
        <v>U$D</v>
      </c>
      <c r="J35" s="2">
        <f>VLOOKUP(Tabla1[[#This Row],[Articulo]],Tabla2[],4,FALSE)</f>
        <v>0.85</v>
      </c>
      <c r="K35" s="2">
        <f t="shared" si="0"/>
        <v>0.85</v>
      </c>
      <c r="L35" s="2">
        <f>Tabla1[[#This Row],[Importe]]*Tabla1[[#This Row],[Cantidad]]</f>
        <v>3187.5</v>
      </c>
      <c r="M35" s="1">
        <v>46066</v>
      </c>
      <c r="N35" t="str">
        <f>TEXT(Tabla1[[#This Row],[Fecha Entrega]],"mmmm")</f>
        <v>febrero</v>
      </c>
      <c r="O35" t="s">
        <v>31</v>
      </c>
      <c r="Q35">
        <v>4</v>
      </c>
      <c r="R35">
        <v>7</v>
      </c>
    </row>
    <row r="36" spans="1:18" x14ac:dyDescent="0.25">
      <c r="A36" t="s">
        <v>17</v>
      </c>
      <c r="B36" s="1">
        <v>46044</v>
      </c>
      <c r="C36" t="s">
        <v>18</v>
      </c>
      <c r="D36">
        <v>500</v>
      </c>
      <c r="E36" t="s">
        <v>19</v>
      </c>
      <c r="F36" t="s">
        <v>44</v>
      </c>
      <c r="G36" t="s">
        <v>90</v>
      </c>
      <c r="H36" t="s">
        <v>52</v>
      </c>
      <c r="I36" s="3" t="str">
        <f>VLOOKUP(Tabla1[[#This Row],[Articulo]],Tabla2[[Descripcion]:[Moneda]],3,FALSE)</f>
        <v>U$D</v>
      </c>
      <c r="J36" s="2">
        <f>VLOOKUP(Tabla1[[#This Row],[Articulo]],Tabla2[],4,FALSE)</f>
        <v>0.85</v>
      </c>
      <c r="K36" s="2">
        <f t="shared" si="0"/>
        <v>0.85</v>
      </c>
      <c r="L36" s="2">
        <f>Tabla1[[#This Row],[Importe]]*Tabla1[[#This Row],[Cantidad]]</f>
        <v>425</v>
      </c>
      <c r="M36" s="1">
        <v>46055</v>
      </c>
      <c r="N36" t="str">
        <f>TEXT(Tabla1[[#This Row],[Fecha Entrega]],"mmmm")</f>
        <v>febrero</v>
      </c>
      <c r="O36" t="s">
        <v>31</v>
      </c>
    </row>
    <row r="37" spans="1:18" x14ac:dyDescent="0.25">
      <c r="A37" t="s">
        <v>17</v>
      </c>
      <c r="B37" s="1">
        <v>46044</v>
      </c>
      <c r="C37" t="s">
        <v>18</v>
      </c>
      <c r="D37">
        <v>2500</v>
      </c>
      <c r="E37" t="s">
        <v>19</v>
      </c>
      <c r="F37" t="s">
        <v>44</v>
      </c>
      <c r="H37" t="s">
        <v>52</v>
      </c>
      <c r="I37" s="3" t="str">
        <f>VLOOKUP(Tabla1[[#This Row],[Articulo]],Tabla2[[Descripcion]:[Moneda]],3,FALSE)</f>
        <v>U$D</v>
      </c>
      <c r="J37" s="2">
        <f>VLOOKUP(Tabla1[[#This Row],[Articulo]],Tabla2[],4,FALSE)</f>
        <v>0.85</v>
      </c>
      <c r="K37" s="2">
        <f t="shared" si="0"/>
        <v>0.85</v>
      </c>
      <c r="L37" s="2">
        <f>Tabla1[[#This Row],[Importe]]*Tabla1[[#This Row],[Cantidad]]</f>
        <v>2125</v>
      </c>
      <c r="M37" s="1">
        <v>46082</v>
      </c>
      <c r="N37" t="str">
        <f>TEXT(Tabla1[[#This Row],[Fecha Entrega]],"mmmm")</f>
        <v>marzo</v>
      </c>
      <c r="O37" t="s">
        <v>31</v>
      </c>
      <c r="Q37">
        <v>4</v>
      </c>
      <c r="R37">
        <v>10</v>
      </c>
    </row>
    <row r="38" spans="1:18" x14ac:dyDescent="0.25">
      <c r="A38" t="s">
        <v>17</v>
      </c>
      <c r="B38" s="1">
        <v>46044</v>
      </c>
      <c r="C38" t="s">
        <v>18</v>
      </c>
      <c r="D38">
        <v>500</v>
      </c>
      <c r="E38" t="s">
        <v>19</v>
      </c>
      <c r="F38" t="s">
        <v>44</v>
      </c>
      <c r="G38" t="s">
        <v>37</v>
      </c>
      <c r="H38" t="s">
        <v>52</v>
      </c>
      <c r="I38" s="3" t="str">
        <f>VLOOKUP(Tabla1[[#This Row],[Articulo]],Tabla2[[Descripcion]:[Moneda]],3,FALSE)</f>
        <v>U$D</v>
      </c>
      <c r="J38" s="2">
        <f>VLOOKUP(Tabla1[[#This Row],[Articulo]],Tabla2[],4,FALSE)</f>
        <v>0.85</v>
      </c>
      <c r="K38" s="2">
        <f t="shared" si="0"/>
        <v>0.85</v>
      </c>
      <c r="L38" s="2">
        <f>Tabla1[[#This Row],[Importe]]*Tabla1[[#This Row],[Cantidad]]</f>
        <v>425</v>
      </c>
      <c r="M38" s="1">
        <v>46128</v>
      </c>
      <c r="N38" t="str">
        <f>TEXT(Tabla1[[#This Row],[Fecha Entrega]],"mmmm")</f>
        <v>abril</v>
      </c>
      <c r="O38" t="s">
        <v>31</v>
      </c>
      <c r="P38" t="s">
        <v>149</v>
      </c>
    </row>
    <row r="39" spans="1:18" x14ac:dyDescent="0.25">
      <c r="A39" t="s">
        <v>17</v>
      </c>
      <c r="B39" s="1">
        <v>46044</v>
      </c>
      <c r="C39" t="s">
        <v>18</v>
      </c>
      <c r="D39">
        <v>1000</v>
      </c>
      <c r="E39" t="s">
        <v>19</v>
      </c>
      <c r="F39" t="s">
        <v>44</v>
      </c>
      <c r="G39" t="s">
        <v>90</v>
      </c>
      <c r="H39" t="s">
        <v>52</v>
      </c>
      <c r="I39" s="3" t="str">
        <f>VLOOKUP(Tabla1[[#This Row],[Articulo]],Tabla2[[Descripcion]:[Moneda]],3,FALSE)</f>
        <v>U$D</v>
      </c>
      <c r="J39" s="2">
        <f>VLOOKUP(Tabla1[[#This Row],[Articulo]],Tabla2[],4,FALSE)</f>
        <v>0.85</v>
      </c>
      <c r="K39" s="2">
        <f t="shared" si="0"/>
        <v>0.85</v>
      </c>
      <c r="L39" s="2">
        <f>Tabla1[[#This Row],[Importe]]*Tabla1[[#This Row],[Cantidad]]</f>
        <v>850</v>
      </c>
      <c r="M39" s="1">
        <v>46168</v>
      </c>
      <c r="N39" t="str">
        <f>TEXT(Tabla1[[#This Row],[Fecha Entrega]],"mmmm")</f>
        <v>mayo</v>
      </c>
      <c r="O39" t="s">
        <v>31</v>
      </c>
      <c r="P39" t="s">
        <v>173</v>
      </c>
      <c r="Q39">
        <v>4</v>
      </c>
      <c r="R39">
        <v>14</v>
      </c>
    </row>
    <row r="40" spans="1:18" x14ac:dyDescent="0.25">
      <c r="A40" t="s">
        <v>17</v>
      </c>
      <c r="B40" s="1">
        <v>46045</v>
      </c>
      <c r="C40" t="s">
        <v>18</v>
      </c>
      <c r="D40">
        <v>1000</v>
      </c>
      <c r="E40" t="s">
        <v>19</v>
      </c>
      <c r="F40" t="s">
        <v>44</v>
      </c>
      <c r="G40" t="s">
        <v>90</v>
      </c>
      <c r="H40" t="s">
        <v>52</v>
      </c>
      <c r="I40" s="3" t="str">
        <f>VLOOKUP(Tabla1[[#This Row],[Articulo]],Tabla2[[Descripcion]:[Moneda]],3,FALSE)</f>
        <v>U$D</v>
      </c>
      <c r="J40" s="2">
        <f>VLOOKUP(Tabla1[[#This Row],[Articulo]],Tabla2[],4,FALSE)</f>
        <v>0.85</v>
      </c>
      <c r="K40" s="2">
        <f t="shared" si="0"/>
        <v>0.85</v>
      </c>
      <c r="L40" s="2">
        <f>Tabla1[[#This Row],[Importe]]*Tabla1[[#This Row],[Cantidad]]</f>
        <v>850</v>
      </c>
      <c r="M40" s="1">
        <v>46179</v>
      </c>
      <c r="N40" t="str">
        <f>TEXT(Tabla1[[#This Row],[Fecha Entrega]],"mmmm")</f>
        <v>junio</v>
      </c>
      <c r="O40" t="s">
        <v>31</v>
      </c>
      <c r="P40" t="s">
        <v>174</v>
      </c>
    </row>
    <row r="41" spans="1:18" x14ac:dyDescent="0.25">
      <c r="A41" t="s">
        <v>17</v>
      </c>
      <c r="B41" s="1">
        <v>46046</v>
      </c>
      <c r="C41" t="s">
        <v>18</v>
      </c>
      <c r="D41">
        <v>3000</v>
      </c>
      <c r="E41" t="s">
        <v>19</v>
      </c>
      <c r="F41" t="s">
        <v>44</v>
      </c>
      <c r="G41" t="s">
        <v>37</v>
      </c>
      <c r="H41" t="s">
        <v>52</v>
      </c>
      <c r="I41" s="3" t="str">
        <f>VLOOKUP(Tabla1[[#This Row],[Articulo]],Tabla2[[Descripcion]:[Moneda]],3,FALSE)</f>
        <v>U$D</v>
      </c>
      <c r="J41" s="2">
        <f>VLOOKUP(Tabla1[[#This Row],[Articulo]],Tabla2[],4,FALSE)</f>
        <v>0.85</v>
      </c>
      <c r="K41" s="2">
        <f t="shared" si="0"/>
        <v>0.85</v>
      </c>
      <c r="L41" s="2">
        <f>Tabla1[[#This Row],[Importe]]*Tabla1[[#This Row],[Cantidad]]</f>
        <v>2550</v>
      </c>
      <c r="M41" s="1">
        <v>46184</v>
      </c>
      <c r="N41" t="str">
        <f>TEXT(Tabla1[[#This Row],[Fecha Entrega]],"mmmm")</f>
        <v>junio</v>
      </c>
      <c r="O41" t="s">
        <v>31</v>
      </c>
      <c r="P41" t="s">
        <v>177</v>
      </c>
    </row>
    <row r="42" spans="1:18" x14ac:dyDescent="0.25">
      <c r="A42" t="s">
        <v>17</v>
      </c>
      <c r="B42" s="1">
        <v>46029</v>
      </c>
      <c r="C42" t="s">
        <v>18</v>
      </c>
      <c r="D42">
        <v>36.03</v>
      </c>
      <c r="E42" t="s">
        <v>123</v>
      </c>
      <c r="F42" t="s">
        <v>39</v>
      </c>
      <c r="G42" t="s">
        <v>40</v>
      </c>
      <c r="H42" t="s">
        <v>83</v>
      </c>
      <c r="I42" s="3" t="str">
        <f>VLOOKUP(Tabla1[[#This Row],[Articulo]],Tabla2[[Descripcion]:[Moneda]],3,FALSE)</f>
        <v>$</v>
      </c>
      <c r="J42" s="2">
        <f>VLOOKUP(Tabla1[[#This Row],[Articulo]],Tabla2[],4,FALSE)</f>
        <v>101000</v>
      </c>
      <c r="K42" s="2">
        <f t="shared" si="0"/>
        <v>65.161290322580641</v>
      </c>
      <c r="L42" s="2">
        <f>Tabla1[[#This Row],[Importe]]*Tabla1[[#This Row],[Cantidad]]</f>
        <v>2347.7612903225804</v>
      </c>
      <c r="M42" s="1">
        <v>46037</v>
      </c>
      <c r="N42" t="str">
        <f>TEXT(Tabla1[[#This Row],[Fecha Entrega]],"mmmm")</f>
        <v>enero</v>
      </c>
      <c r="O42" t="s">
        <v>31</v>
      </c>
      <c r="Q42">
        <v>2</v>
      </c>
      <c r="R42">
        <v>3</v>
      </c>
    </row>
    <row r="43" spans="1:18" x14ac:dyDescent="0.25">
      <c r="A43" t="s">
        <v>17</v>
      </c>
      <c r="B43" s="1">
        <v>46029</v>
      </c>
      <c r="C43" t="s">
        <v>18</v>
      </c>
      <c r="D43">
        <v>36.03</v>
      </c>
      <c r="E43" t="s">
        <v>123</v>
      </c>
      <c r="F43" t="s">
        <v>39</v>
      </c>
      <c r="G43" t="s">
        <v>40</v>
      </c>
      <c r="H43" t="s">
        <v>83</v>
      </c>
      <c r="I43" s="3" t="str">
        <f>VLOOKUP(Tabla1[[#This Row],[Articulo]],Tabla2[[Descripcion]:[Moneda]],3,FALSE)</f>
        <v>$</v>
      </c>
      <c r="J43" s="2">
        <f>VLOOKUP(Tabla1[[#This Row],[Articulo]],Tabla2[],4,FALSE)</f>
        <v>101000</v>
      </c>
      <c r="K43" s="2">
        <f t="shared" ref="K43:K74" si="1">IF(I43="$", J43/$H$1, IF(I43="U$D", J43*1, 0))</f>
        <v>65.161290322580641</v>
      </c>
      <c r="L43" s="2">
        <f>Tabla1[[#This Row],[Importe]]*Tabla1[[#This Row],[Cantidad]]</f>
        <v>2347.7612903225804</v>
      </c>
      <c r="M43" s="1">
        <v>46037</v>
      </c>
      <c r="N43" t="str">
        <f>TEXT(Tabla1[[#This Row],[Fecha Entrega]],"mmmm")</f>
        <v>enero</v>
      </c>
      <c r="O43" t="s">
        <v>31</v>
      </c>
      <c r="Q43">
        <v>2</v>
      </c>
      <c r="R43">
        <v>3</v>
      </c>
    </row>
    <row r="44" spans="1:18" x14ac:dyDescent="0.25">
      <c r="A44" t="s">
        <v>17</v>
      </c>
      <c r="B44" s="1">
        <v>46042</v>
      </c>
      <c r="C44" t="s">
        <v>18</v>
      </c>
      <c r="D44">
        <v>36.78</v>
      </c>
      <c r="E44" t="s">
        <v>123</v>
      </c>
      <c r="F44" t="s">
        <v>39</v>
      </c>
      <c r="G44" t="s">
        <v>40</v>
      </c>
      <c r="H44" t="s">
        <v>83</v>
      </c>
      <c r="I44" s="3" t="str">
        <f>VLOOKUP(Tabla1[[#This Row],[Articulo]],Tabla2[[Descripcion]:[Moneda]],3,FALSE)</f>
        <v>$</v>
      </c>
      <c r="J44" s="2">
        <f>VLOOKUP(Tabla1[[#This Row],[Articulo]],Tabla2[],4,FALSE)</f>
        <v>101000</v>
      </c>
      <c r="K44" s="2">
        <f t="shared" si="1"/>
        <v>65.161290322580641</v>
      </c>
      <c r="L44" s="2">
        <f>Tabla1[[#This Row],[Importe]]*Tabla1[[#This Row],[Cantidad]]</f>
        <v>2396.632258064516</v>
      </c>
      <c r="M44" s="1">
        <v>46063</v>
      </c>
      <c r="N44" t="str">
        <f>TEXT(Tabla1[[#This Row],[Fecha Entrega]],"mmmm")</f>
        <v>febrero</v>
      </c>
      <c r="O44" t="s">
        <v>31</v>
      </c>
      <c r="Q44">
        <v>4</v>
      </c>
      <c r="R44">
        <v>7</v>
      </c>
    </row>
    <row r="45" spans="1:18" x14ac:dyDescent="0.25">
      <c r="A45" t="s">
        <v>17</v>
      </c>
      <c r="B45" s="1">
        <v>46042</v>
      </c>
      <c r="C45" t="s">
        <v>18</v>
      </c>
      <c r="D45">
        <v>36.78</v>
      </c>
      <c r="E45" t="s">
        <v>123</v>
      </c>
      <c r="F45" t="s">
        <v>39</v>
      </c>
      <c r="G45" t="s">
        <v>40</v>
      </c>
      <c r="H45" t="s">
        <v>83</v>
      </c>
      <c r="I45" s="3" t="str">
        <f>VLOOKUP(Tabla1[[#This Row],[Articulo]],Tabla2[[Descripcion]:[Moneda]],3,FALSE)</f>
        <v>$</v>
      </c>
      <c r="J45" s="2">
        <f>VLOOKUP(Tabla1[[#This Row],[Articulo]],Tabla2[],4,FALSE)</f>
        <v>101000</v>
      </c>
      <c r="K45" s="2">
        <f t="shared" si="1"/>
        <v>65.161290322580641</v>
      </c>
      <c r="L45" s="2">
        <f>Tabla1[[#This Row],[Importe]]*Tabla1[[#This Row],[Cantidad]]</f>
        <v>2396.632258064516</v>
      </c>
      <c r="M45" s="1">
        <v>46066</v>
      </c>
      <c r="N45" t="str">
        <f>TEXT(Tabla1[[#This Row],[Fecha Entrega]],"mmmm")</f>
        <v>febrero</v>
      </c>
      <c r="O45" t="s">
        <v>31</v>
      </c>
      <c r="Q45">
        <v>4</v>
      </c>
      <c r="R45">
        <v>7</v>
      </c>
    </row>
    <row r="46" spans="1:18" x14ac:dyDescent="0.25">
      <c r="A46" t="s">
        <v>17</v>
      </c>
      <c r="B46" s="1">
        <v>46042</v>
      </c>
      <c r="C46" t="s">
        <v>18</v>
      </c>
      <c r="D46">
        <v>26.54</v>
      </c>
      <c r="E46" t="s">
        <v>123</v>
      </c>
      <c r="F46" t="s">
        <v>39</v>
      </c>
      <c r="G46" t="s">
        <v>40</v>
      </c>
      <c r="H46" t="s">
        <v>83</v>
      </c>
      <c r="I46" s="3" t="str">
        <f>VLOOKUP(Tabla1[[#This Row],[Articulo]],Tabla2[[Descripcion]:[Moneda]],3,FALSE)</f>
        <v>$</v>
      </c>
      <c r="J46" s="2">
        <f>VLOOKUP(Tabla1[[#This Row],[Articulo]],Tabla2[],4,FALSE)</f>
        <v>101000</v>
      </c>
      <c r="K46" s="2">
        <f t="shared" si="1"/>
        <v>65.161290322580641</v>
      </c>
      <c r="L46" s="2">
        <f>Tabla1[[#This Row],[Importe]]*Tabla1[[#This Row],[Cantidad]]</f>
        <v>1729.3806451612902</v>
      </c>
      <c r="M46" s="1">
        <v>46070</v>
      </c>
      <c r="N46" t="str">
        <f>TEXT(Tabla1[[#This Row],[Fecha Entrega]],"mmmm")</f>
        <v>febrero</v>
      </c>
      <c r="O46" t="s">
        <v>31</v>
      </c>
      <c r="Q46">
        <v>4</v>
      </c>
      <c r="R46">
        <v>8</v>
      </c>
    </row>
    <row r="47" spans="1:18" x14ac:dyDescent="0.25">
      <c r="A47" t="s">
        <v>17</v>
      </c>
      <c r="B47" s="1">
        <v>46042</v>
      </c>
      <c r="C47" t="s">
        <v>18</v>
      </c>
      <c r="D47">
        <v>33.200000000000003</v>
      </c>
      <c r="E47" t="s">
        <v>123</v>
      </c>
      <c r="F47" t="s">
        <v>39</v>
      </c>
      <c r="G47" t="s">
        <v>40</v>
      </c>
      <c r="H47" t="s">
        <v>83</v>
      </c>
      <c r="I47" s="3" t="str">
        <f>VLOOKUP(Tabla1[[#This Row],[Articulo]],Tabla2[[Descripcion]:[Moneda]],3,FALSE)</f>
        <v>$</v>
      </c>
      <c r="J47" s="2">
        <f>VLOOKUP(Tabla1[[#This Row],[Articulo]],Tabla2[],4,FALSE)</f>
        <v>101000</v>
      </c>
      <c r="K47" s="2">
        <f t="shared" si="1"/>
        <v>65.161290322580641</v>
      </c>
      <c r="L47" s="2">
        <f>Tabla1[[#This Row],[Importe]]*Tabla1[[#This Row],[Cantidad]]</f>
        <v>2163.3548387096776</v>
      </c>
      <c r="M47" s="1">
        <v>46073</v>
      </c>
      <c r="N47" t="str">
        <f>TEXT(Tabla1[[#This Row],[Fecha Entrega]],"mmmm")</f>
        <v>febrero</v>
      </c>
      <c r="O47" t="s">
        <v>31</v>
      </c>
      <c r="Q47">
        <v>4</v>
      </c>
      <c r="R47">
        <v>8</v>
      </c>
    </row>
    <row r="48" spans="1:18" x14ac:dyDescent="0.25">
      <c r="A48" t="s">
        <v>17</v>
      </c>
      <c r="B48" s="1">
        <v>46042</v>
      </c>
      <c r="C48" t="s">
        <v>18</v>
      </c>
      <c r="D48">
        <v>34.200000000000003</v>
      </c>
      <c r="E48" t="s">
        <v>123</v>
      </c>
      <c r="F48" t="s">
        <v>39</v>
      </c>
      <c r="G48" t="s">
        <v>40</v>
      </c>
      <c r="H48" t="s">
        <v>83</v>
      </c>
      <c r="I48" s="3" t="str">
        <f>VLOOKUP(Tabla1[[#This Row],[Articulo]],Tabla2[[Descripcion]:[Moneda]],3,FALSE)</f>
        <v>$</v>
      </c>
      <c r="J48" s="2">
        <f>VLOOKUP(Tabla1[[#This Row],[Articulo]],Tabla2[],4,FALSE)</f>
        <v>101000</v>
      </c>
      <c r="K48" s="2">
        <f t="shared" si="1"/>
        <v>65.161290322580641</v>
      </c>
      <c r="L48" s="2">
        <f>Tabla1[[#This Row],[Importe]]*Tabla1[[#This Row],[Cantidad]]</f>
        <v>2228.516129032258</v>
      </c>
      <c r="M48" s="1">
        <v>46077</v>
      </c>
      <c r="N48" t="str">
        <f>TEXT(Tabla1[[#This Row],[Fecha Entrega]],"mmmm")</f>
        <v>febrero</v>
      </c>
      <c r="O48" t="s">
        <v>31</v>
      </c>
      <c r="Q48">
        <v>4</v>
      </c>
      <c r="R48">
        <v>9</v>
      </c>
    </row>
    <row r="49" spans="1:18" x14ac:dyDescent="0.25">
      <c r="A49" t="s">
        <v>17</v>
      </c>
      <c r="B49" s="1">
        <v>46042</v>
      </c>
      <c r="C49" t="s">
        <v>18</v>
      </c>
      <c r="D49">
        <v>35.880000000000003</v>
      </c>
      <c r="E49" t="s">
        <v>123</v>
      </c>
      <c r="F49" t="s">
        <v>39</v>
      </c>
      <c r="G49" t="s">
        <v>40</v>
      </c>
      <c r="H49" t="s">
        <v>83</v>
      </c>
      <c r="I49" s="3" t="str">
        <f>VLOOKUP(Tabla1[[#This Row],[Articulo]],Tabla2[[Descripcion]:[Moneda]],3,FALSE)</f>
        <v>$</v>
      </c>
      <c r="J49" s="2">
        <f>VLOOKUP(Tabla1[[#This Row],[Articulo]],Tabla2[],4,FALSE)</f>
        <v>101000</v>
      </c>
      <c r="K49" s="2">
        <f t="shared" si="1"/>
        <v>65.161290322580641</v>
      </c>
      <c r="L49" s="2">
        <f>Tabla1[[#This Row],[Importe]]*Tabla1[[#This Row],[Cantidad]]</f>
        <v>2337.9870967741936</v>
      </c>
      <c r="M49" s="1">
        <v>46080</v>
      </c>
      <c r="N49" t="str">
        <f>TEXT(Tabla1[[#This Row],[Fecha Entrega]],"mmmm")</f>
        <v>febrero</v>
      </c>
      <c r="O49" t="s">
        <v>31</v>
      </c>
      <c r="Q49">
        <v>4</v>
      </c>
      <c r="R49">
        <v>9</v>
      </c>
    </row>
    <row r="50" spans="1:18" x14ac:dyDescent="0.25">
      <c r="A50" t="s">
        <v>17</v>
      </c>
      <c r="B50" s="1">
        <v>46042</v>
      </c>
      <c r="C50" t="s">
        <v>18</v>
      </c>
      <c r="D50">
        <v>34.299999999999997</v>
      </c>
      <c r="E50" t="s">
        <v>123</v>
      </c>
      <c r="F50" t="s">
        <v>39</v>
      </c>
      <c r="G50" t="s">
        <v>40</v>
      </c>
      <c r="H50" t="s">
        <v>83</v>
      </c>
      <c r="I50" s="3" t="str">
        <f>VLOOKUP(Tabla1[[#This Row],[Articulo]],Tabla2[[Descripcion]:[Moneda]],3,FALSE)</f>
        <v>$</v>
      </c>
      <c r="J50" s="2">
        <f>VLOOKUP(Tabla1[[#This Row],[Articulo]],Tabla2[],4,FALSE)</f>
        <v>101000</v>
      </c>
      <c r="K50" s="2">
        <f t="shared" si="1"/>
        <v>65.161290322580641</v>
      </c>
      <c r="L50" s="2">
        <f>Tabla1[[#This Row],[Importe]]*Tabla1[[#This Row],[Cantidad]]</f>
        <v>2235.0322580645156</v>
      </c>
      <c r="M50" s="1">
        <v>46085</v>
      </c>
      <c r="N50" t="str">
        <f>TEXT(Tabla1[[#This Row],[Fecha Entrega]],"mmmm")</f>
        <v>marzo</v>
      </c>
      <c r="O50" t="s">
        <v>31</v>
      </c>
      <c r="Q50">
        <v>4</v>
      </c>
      <c r="R50">
        <v>10</v>
      </c>
    </row>
    <row r="51" spans="1:18" x14ac:dyDescent="0.25">
      <c r="A51" t="s">
        <v>17</v>
      </c>
      <c r="B51" s="1">
        <v>46042</v>
      </c>
      <c r="C51" t="s">
        <v>18</v>
      </c>
      <c r="D51">
        <v>39.299999999999997</v>
      </c>
      <c r="E51" t="s">
        <v>123</v>
      </c>
      <c r="F51" t="s">
        <v>39</v>
      </c>
      <c r="G51" t="s">
        <v>40</v>
      </c>
      <c r="H51" t="s">
        <v>83</v>
      </c>
      <c r="I51" s="3" t="str">
        <f>VLOOKUP(Tabla1[[#This Row],[Articulo]],Tabla2[[Descripcion]:[Moneda]],3,FALSE)</f>
        <v>$</v>
      </c>
      <c r="J51" s="2">
        <f>VLOOKUP(Tabla1[[#This Row],[Articulo]],Tabla2[],4,FALSE)</f>
        <v>101000</v>
      </c>
      <c r="K51" s="2">
        <f t="shared" si="1"/>
        <v>65.161290322580641</v>
      </c>
      <c r="L51" s="2">
        <f>Tabla1[[#This Row],[Importe]]*Tabla1[[#This Row],[Cantidad]]</f>
        <v>2560.838709677419</v>
      </c>
      <c r="M51" s="1">
        <v>46087</v>
      </c>
      <c r="N51" t="str">
        <f>TEXT(Tabla1[[#This Row],[Fecha Entrega]],"mmmm")</f>
        <v>marzo</v>
      </c>
      <c r="O51" t="s">
        <v>31</v>
      </c>
      <c r="Q51">
        <v>4</v>
      </c>
      <c r="R51">
        <v>10</v>
      </c>
    </row>
    <row r="52" spans="1:18" x14ac:dyDescent="0.25">
      <c r="A52" t="s">
        <v>17</v>
      </c>
      <c r="B52" s="1">
        <v>46042</v>
      </c>
      <c r="C52" t="s">
        <v>18</v>
      </c>
      <c r="D52">
        <v>27.96</v>
      </c>
      <c r="E52" t="s">
        <v>123</v>
      </c>
      <c r="F52" t="s">
        <v>39</v>
      </c>
      <c r="G52" t="s">
        <v>40</v>
      </c>
      <c r="H52" t="s">
        <v>83</v>
      </c>
      <c r="I52" s="3" t="str">
        <f>VLOOKUP(Tabla1[[#This Row],[Articulo]],Tabla2[[Descripcion]:[Moneda]],3,FALSE)</f>
        <v>$</v>
      </c>
      <c r="J52" s="2">
        <f>VLOOKUP(Tabla1[[#This Row],[Articulo]],Tabla2[],4,FALSE)</f>
        <v>101000</v>
      </c>
      <c r="K52" s="2">
        <f t="shared" si="1"/>
        <v>65.161290322580641</v>
      </c>
      <c r="L52" s="2">
        <f>Tabla1[[#This Row],[Importe]]*Tabla1[[#This Row],[Cantidad]]</f>
        <v>1821.9096774193547</v>
      </c>
      <c r="M52" s="1">
        <v>46094</v>
      </c>
      <c r="N52" t="str">
        <f>TEXT(Tabla1[[#This Row],[Fecha Entrega]],"mmmm")</f>
        <v>marzo</v>
      </c>
      <c r="O52" t="s">
        <v>31</v>
      </c>
      <c r="Q52">
        <v>4</v>
      </c>
      <c r="R52">
        <v>11</v>
      </c>
    </row>
    <row r="53" spans="1:18" x14ac:dyDescent="0.25">
      <c r="A53" t="s">
        <v>17</v>
      </c>
      <c r="B53" s="1">
        <v>46042</v>
      </c>
      <c r="C53" t="s">
        <v>18</v>
      </c>
      <c r="D53">
        <v>30.58</v>
      </c>
      <c r="E53" t="s">
        <v>123</v>
      </c>
      <c r="F53" t="s">
        <v>39</v>
      </c>
      <c r="G53" t="s">
        <v>40</v>
      </c>
      <c r="H53" t="s">
        <v>83</v>
      </c>
      <c r="I53" s="3" t="str">
        <f>VLOOKUP(Tabla1[[#This Row],[Articulo]],Tabla2[[Descripcion]:[Moneda]],3,FALSE)</f>
        <v>$</v>
      </c>
      <c r="J53" s="2">
        <f>VLOOKUP(Tabla1[[#This Row],[Articulo]],Tabla2[],4,FALSE)</f>
        <v>101000</v>
      </c>
      <c r="K53" s="2">
        <f t="shared" si="1"/>
        <v>65.161290322580641</v>
      </c>
      <c r="L53" s="2">
        <f>Tabla1[[#This Row],[Importe]]*Tabla1[[#This Row],[Cantidad]]</f>
        <v>1992.6322580645158</v>
      </c>
      <c r="M53" s="1">
        <v>46095</v>
      </c>
      <c r="N53" t="str">
        <f>TEXT(Tabla1[[#This Row],[Fecha Entrega]],"mmmm")</f>
        <v>marzo</v>
      </c>
      <c r="O53" t="s">
        <v>31</v>
      </c>
      <c r="Q53">
        <v>4</v>
      </c>
      <c r="R53">
        <v>11</v>
      </c>
    </row>
    <row r="54" spans="1:18" x14ac:dyDescent="0.25">
      <c r="A54" t="s">
        <v>17</v>
      </c>
      <c r="B54" s="1">
        <v>46042</v>
      </c>
      <c r="C54" t="s">
        <v>18</v>
      </c>
      <c r="D54">
        <v>31.62</v>
      </c>
      <c r="E54" t="s">
        <v>123</v>
      </c>
      <c r="F54" t="s">
        <v>39</v>
      </c>
      <c r="G54" t="s">
        <v>40</v>
      </c>
      <c r="H54" t="s">
        <v>83</v>
      </c>
      <c r="I54" s="3" t="str">
        <f>VLOOKUP(Tabla1[[#This Row],[Articulo]],Tabla2[[Descripcion]:[Moneda]],3,FALSE)</f>
        <v>$</v>
      </c>
      <c r="J54" s="2">
        <f>VLOOKUP(Tabla1[[#This Row],[Articulo]],Tabla2[],4,FALSE)</f>
        <v>101000</v>
      </c>
      <c r="K54" s="2">
        <f t="shared" si="1"/>
        <v>65.161290322580641</v>
      </c>
      <c r="L54" s="2">
        <f>Tabla1[[#This Row],[Importe]]*Tabla1[[#This Row],[Cantidad]]</f>
        <v>2060.4</v>
      </c>
      <c r="M54" s="1">
        <v>46098</v>
      </c>
      <c r="N54" t="str">
        <f>TEXT(Tabla1[[#This Row],[Fecha Entrega]],"mmmm")</f>
        <v>marzo</v>
      </c>
      <c r="O54" t="s">
        <v>31</v>
      </c>
      <c r="P54" t="s">
        <v>125</v>
      </c>
      <c r="Q54">
        <v>4</v>
      </c>
      <c r="R54">
        <v>12</v>
      </c>
    </row>
    <row r="55" spans="1:18" x14ac:dyDescent="0.25">
      <c r="A55" t="s">
        <v>17</v>
      </c>
      <c r="B55" s="1">
        <v>46042</v>
      </c>
      <c r="C55" t="s">
        <v>18</v>
      </c>
      <c r="D55">
        <v>28</v>
      </c>
      <c r="E55" t="s">
        <v>123</v>
      </c>
      <c r="F55" t="s">
        <v>39</v>
      </c>
      <c r="G55" t="s">
        <v>40</v>
      </c>
      <c r="H55" t="s">
        <v>83</v>
      </c>
      <c r="I55" s="3" t="str">
        <f>VLOOKUP(Tabla1[[#This Row],[Articulo]],Tabla2[[Descripcion]:[Moneda]],3,FALSE)</f>
        <v>$</v>
      </c>
      <c r="J55" s="2">
        <f>VLOOKUP(Tabla1[[#This Row],[Articulo]],Tabla2[],4,FALSE)</f>
        <v>101000</v>
      </c>
      <c r="K55" s="2">
        <f t="shared" si="1"/>
        <v>65.161290322580641</v>
      </c>
      <c r="L55" s="2">
        <f>Tabla1[[#This Row],[Importe]]*Tabla1[[#This Row],[Cantidad]]</f>
        <v>1824.516129032258</v>
      </c>
      <c r="M55" s="1">
        <v>46103</v>
      </c>
      <c r="N55" t="str">
        <f>TEXT(Tabla1[[#This Row],[Fecha Entrega]],"mmmm")</f>
        <v>marzo</v>
      </c>
      <c r="O55" t="s">
        <v>31</v>
      </c>
      <c r="P55" t="s">
        <v>124</v>
      </c>
      <c r="Q55">
        <v>4</v>
      </c>
      <c r="R55">
        <v>12</v>
      </c>
    </row>
    <row r="56" spans="1:18" x14ac:dyDescent="0.25">
      <c r="A56" t="s">
        <v>17</v>
      </c>
      <c r="B56" s="1">
        <v>46042</v>
      </c>
      <c r="C56" t="s">
        <v>18</v>
      </c>
      <c r="D56">
        <v>37.96</v>
      </c>
      <c r="E56" t="s">
        <v>123</v>
      </c>
      <c r="F56" t="s">
        <v>39</v>
      </c>
      <c r="G56" t="s">
        <v>40</v>
      </c>
      <c r="H56" t="s">
        <v>83</v>
      </c>
      <c r="I56" s="3" t="str">
        <f>VLOOKUP(Tabla1[[#This Row],[Articulo]],Tabla2[[Descripcion]:[Moneda]],3,FALSE)</f>
        <v>$</v>
      </c>
      <c r="J56" s="2">
        <f>VLOOKUP(Tabla1[[#This Row],[Articulo]],Tabla2[],4,FALSE)</f>
        <v>101000</v>
      </c>
      <c r="K56" s="2">
        <f t="shared" si="1"/>
        <v>65.161290322580641</v>
      </c>
      <c r="L56" s="2">
        <f>Tabla1[[#This Row],[Importe]]*Tabla1[[#This Row],[Cantidad]]</f>
        <v>2473.5225806451613</v>
      </c>
      <c r="M56" s="1">
        <v>46106</v>
      </c>
      <c r="N56" t="str">
        <f>TEXT(Tabla1[[#This Row],[Fecha Entrega]],"mmmm")</f>
        <v>marzo</v>
      </c>
      <c r="O56" t="s">
        <v>31</v>
      </c>
      <c r="P56" t="s">
        <v>130</v>
      </c>
      <c r="Q56">
        <v>4</v>
      </c>
      <c r="R56">
        <v>13</v>
      </c>
    </row>
    <row r="57" spans="1:18" x14ac:dyDescent="0.25">
      <c r="A57" t="s">
        <v>17</v>
      </c>
      <c r="B57" s="1">
        <v>46042</v>
      </c>
      <c r="C57" t="s">
        <v>18</v>
      </c>
      <c r="D57">
        <v>30.16</v>
      </c>
      <c r="E57" t="s">
        <v>123</v>
      </c>
      <c r="F57" t="s">
        <v>39</v>
      </c>
      <c r="G57" t="s">
        <v>40</v>
      </c>
      <c r="H57" t="s">
        <v>83</v>
      </c>
      <c r="I57" s="3" t="str">
        <f>VLOOKUP(Tabla1[[#This Row],[Articulo]],Tabla2[[Descripcion]:[Moneda]],3,FALSE)</f>
        <v>$</v>
      </c>
      <c r="J57" s="2">
        <f>VLOOKUP(Tabla1[[#This Row],[Articulo]],Tabla2[],4,FALSE)</f>
        <v>101000</v>
      </c>
      <c r="K57" s="2">
        <f t="shared" si="1"/>
        <v>65.161290322580641</v>
      </c>
      <c r="L57" s="2">
        <f>Tabla1[[#This Row],[Importe]]*Tabla1[[#This Row],[Cantidad]]</f>
        <v>1965.264516129032</v>
      </c>
      <c r="M57" s="1">
        <v>46108</v>
      </c>
      <c r="N57" t="str">
        <f>TEXT(Tabla1[[#This Row],[Fecha Entrega]],"mmmm")</f>
        <v>marzo</v>
      </c>
      <c r="O57" t="s">
        <v>31</v>
      </c>
      <c r="P57" t="s">
        <v>131</v>
      </c>
      <c r="Q57">
        <v>4</v>
      </c>
      <c r="R57">
        <v>13</v>
      </c>
    </row>
    <row r="58" spans="1:18" x14ac:dyDescent="0.25">
      <c r="A58" t="s">
        <v>17</v>
      </c>
      <c r="B58" s="1">
        <v>46042</v>
      </c>
      <c r="C58" t="s">
        <v>18</v>
      </c>
      <c r="D58">
        <v>31.54</v>
      </c>
      <c r="E58" t="s">
        <v>123</v>
      </c>
      <c r="F58" t="s">
        <v>39</v>
      </c>
      <c r="G58" t="s">
        <v>40</v>
      </c>
      <c r="H58" t="s">
        <v>83</v>
      </c>
      <c r="I58" s="3" t="str">
        <f>VLOOKUP(Tabla1[[#This Row],[Articulo]],Tabla2[[Descripcion]:[Moneda]],3,FALSE)</f>
        <v>$</v>
      </c>
      <c r="J58" s="2">
        <f>VLOOKUP(Tabla1[[#This Row],[Articulo]],Tabla2[],4,FALSE)</f>
        <v>101000</v>
      </c>
      <c r="K58" s="2">
        <f t="shared" si="1"/>
        <v>65.161290322580641</v>
      </c>
      <c r="L58" s="2">
        <f>Tabla1[[#This Row],[Importe]]*Tabla1[[#This Row],[Cantidad]]</f>
        <v>2055.1870967741934</v>
      </c>
      <c r="M58" s="1">
        <v>46107</v>
      </c>
      <c r="N58" t="str">
        <f>TEXT(Tabla1[[#This Row],[Fecha Entrega]],"mmmm")</f>
        <v>marzo</v>
      </c>
      <c r="O58" t="s">
        <v>31</v>
      </c>
      <c r="P58" t="s">
        <v>132</v>
      </c>
      <c r="Q58">
        <v>4</v>
      </c>
      <c r="R58">
        <v>14</v>
      </c>
    </row>
    <row r="59" spans="1:18" x14ac:dyDescent="0.25">
      <c r="A59" t="s">
        <v>17</v>
      </c>
      <c r="B59" s="1">
        <v>46042</v>
      </c>
      <c r="C59" t="s">
        <v>18</v>
      </c>
      <c r="D59">
        <v>35.44</v>
      </c>
      <c r="E59" t="s">
        <v>123</v>
      </c>
      <c r="F59" t="s">
        <v>39</v>
      </c>
      <c r="G59" t="s">
        <v>40</v>
      </c>
      <c r="H59" t="s">
        <v>83</v>
      </c>
      <c r="I59" s="3" t="str">
        <f>VLOOKUP(Tabla1[[#This Row],[Articulo]],Tabla2[[Descripcion]:[Moneda]],3,FALSE)</f>
        <v>$</v>
      </c>
      <c r="J59" s="2">
        <f>VLOOKUP(Tabla1[[#This Row],[Articulo]],Tabla2[],4,FALSE)</f>
        <v>101000</v>
      </c>
      <c r="K59" s="2">
        <f t="shared" si="1"/>
        <v>65.161290322580641</v>
      </c>
      <c r="L59" s="2">
        <f>Tabla1[[#This Row],[Importe]]*Tabla1[[#This Row],[Cantidad]]</f>
        <v>2309.3161290322578</v>
      </c>
      <c r="M59" s="1">
        <v>46111</v>
      </c>
      <c r="N59" t="str">
        <f>TEXT(Tabla1[[#This Row],[Fecha Entrega]],"mmmm")</f>
        <v>marzo</v>
      </c>
      <c r="O59" t="s">
        <v>31</v>
      </c>
      <c r="P59" t="s">
        <v>135</v>
      </c>
      <c r="Q59">
        <v>4</v>
      </c>
      <c r="R59">
        <v>14</v>
      </c>
    </row>
    <row r="60" spans="1:18" x14ac:dyDescent="0.25">
      <c r="A60" t="s">
        <v>17</v>
      </c>
      <c r="B60" s="1">
        <v>46042</v>
      </c>
      <c r="C60" t="s">
        <v>18</v>
      </c>
      <c r="D60">
        <v>34.1</v>
      </c>
      <c r="E60" t="s">
        <v>123</v>
      </c>
      <c r="F60" t="s">
        <v>39</v>
      </c>
      <c r="G60" t="s">
        <v>40</v>
      </c>
      <c r="H60" t="s">
        <v>83</v>
      </c>
      <c r="I60" s="3" t="str">
        <f>VLOOKUP(Tabla1[[#This Row],[Articulo]],Tabla2[[Descripcion]:[Moneda]],3,FALSE)</f>
        <v>$</v>
      </c>
      <c r="J60" s="2">
        <f>VLOOKUP(Tabla1[[#This Row],[Articulo]],Tabla2[],4,FALSE)</f>
        <v>101000</v>
      </c>
      <c r="K60" s="2">
        <f t="shared" si="1"/>
        <v>65.161290322580641</v>
      </c>
      <c r="L60" s="2">
        <f>Tabla1[[#This Row],[Importe]]*Tabla1[[#This Row],[Cantidad]]</f>
        <v>2222</v>
      </c>
      <c r="M60" s="1">
        <v>46112</v>
      </c>
      <c r="N60" t="str">
        <f>TEXT(Tabla1[[#This Row],[Fecha Entrega]],"mmmm")</f>
        <v>marzo</v>
      </c>
      <c r="O60" t="s">
        <v>31</v>
      </c>
      <c r="P60" t="s">
        <v>138</v>
      </c>
      <c r="Q60">
        <v>4</v>
      </c>
      <c r="R60">
        <v>15</v>
      </c>
    </row>
    <row r="61" spans="1:18" x14ac:dyDescent="0.25">
      <c r="A61" t="s">
        <v>17</v>
      </c>
      <c r="B61" s="1">
        <v>46042</v>
      </c>
      <c r="C61" t="s">
        <v>18</v>
      </c>
      <c r="D61">
        <v>36.36</v>
      </c>
      <c r="E61" t="s">
        <v>123</v>
      </c>
      <c r="F61" t="s">
        <v>39</v>
      </c>
      <c r="G61" t="s">
        <v>40</v>
      </c>
      <c r="H61" t="s">
        <v>83</v>
      </c>
      <c r="I61" s="3" t="str">
        <f>VLOOKUP(Tabla1[[#This Row],[Articulo]],Tabla2[[Descripcion]:[Moneda]],3,FALSE)</f>
        <v>$</v>
      </c>
      <c r="J61" s="2">
        <f>VLOOKUP(Tabla1[[#This Row],[Articulo]],Tabla2[],4,FALSE)</f>
        <v>101000</v>
      </c>
      <c r="K61" s="2">
        <f t="shared" si="1"/>
        <v>65.161290322580641</v>
      </c>
      <c r="L61" s="2">
        <f>Tabla1[[#This Row],[Importe]]*Tabla1[[#This Row],[Cantidad]]</f>
        <v>2369.264516129032</v>
      </c>
      <c r="M61" s="1">
        <v>46113</v>
      </c>
      <c r="N61" t="str">
        <f>TEXT(Tabla1[[#This Row],[Fecha Entrega]],"mmmm")</f>
        <v>abril</v>
      </c>
      <c r="O61" t="s">
        <v>31</v>
      </c>
      <c r="P61" t="s">
        <v>139</v>
      </c>
      <c r="Q61">
        <v>4</v>
      </c>
      <c r="R61">
        <v>15</v>
      </c>
    </row>
    <row r="62" spans="1:18" x14ac:dyDescent="0.25">
      <c r="A62" t="s">
        <v>17</v>
      </c>
      <c r="B62" s="1">
        <v>46042</v>
      </c>
      <c r="C62" t="s">
        <v>18</v>
      </c>
      <c r="D62">
        <v>30</v>
      </c>
      <c r="E62" t="s">
        <v>123</v>
      </c>
      <c r="F62" t="s">
        <v>39</v>
      </c>
      <c r="G62" t="s">
        <v>40</v>
      </c>
      <c r="H62" t="s">
        <v>83</v>
      </c>
      <c r="I62" s="3" t="str">
        <f>VLOOKUP(Tabla1[[#This Row],[Articulo]],Tabla2[[Descripcion]:[Moneda]],3,FALSE)</f>
        <v>$</v>
      </c>
      <c r="J62" s="2">
        <f>VLOOKUP(Tabla1[[#This Row],[Articulo]],Tabla2[],4,FALSE)</f>
        <v>101000</v>
      </c>
      <c r="K62" s="2">
        <f t="shared" si="1"/>
        <v>65.161290322580641</v>
      </c>
      <c r="L62" s="2">
        <f>Tabla1[[#This Row],[Importe]]*Tabla1[[#This Row],[Cantidad]]</f>
        <v>1954.8387096774193</v>
      </c>
      <c r="M62" s="1">
        <v>46118</v>
      </c>
      <c r="N62" t="str">
        <f>TEXT(Tabla1[[#This Row],[Fecha Entrega]],"mmmm")</f>
        <v>abril</v>
      </c>
      <c r="O62" t="s">
        <v>31</v>
      </c>
      <c r="P62" t="s">
        <v>142</v>
      </c>
      <c r="Q62">
        <v>4</v>
      </c>
      <c r="R62">
        <v>16</v>
      </c>
    </row>
    <row r="63" spans="1:18" x14ac:dyDescent="0.25">
      <c r="A63" t="s">
        <v>17</v>
      </c>
      <c r="B63" s="1">
        <v>46042</v>
      </c>
      <c r="C63" t="s">
        <v>18</v>
      </c>
      <c r="D63">
        <v>36.96</v>
      </c>
      <c r="E63" t="s">
        <v>123</v>
      </c>
      <c r="F63" t="s">
        <v>39</v>
      </c>
      <c r="G63" t="s">
        <v>40</v>
      </c>
      <c r="H63" t="s">
        <v>83</v>
      </c>
      <c r="I63" s="3" t="str">
        <f>VLOOKUP(Tabla1[[#This Row],[Articulo]],Tabla2[[Descripcion]:[Moneda]],3,FALSE)</f>
        <v>$</v>
      </c>
      <c r="J63" s="2">
        <f>VLOOKUP(Tabla1[[#This Row],[Articulo]],Tabla2[],4,FALSE)</f>
        <v>101000</v>
      </c>
      <c r="K63" s="2">
        <f t="shared" si="1"/>
        <v>65.161290322580641</v>
      </c>
      <c r="L63" s="2">
        <f>Tabla1[[#This Row],[Importe]]*Tabla1[[#This Row],[Cantidad]]</f>
        <v>2408.3612903225803</v>
      </c>
      <c r="M63" s="1">
        <v>46120</v>
      </c>
      <c r="N63" t="str">
        <f>TEXT(Tabla1[[#This Row],[Fecha Entrega]],"mmmm")</f>
        <v>abril</v>
      </c>
      <c r="O63" t="s">
        <v>31</v>
      </c>
      <c r="P63" t="s">
        <v>143</v>
      </c>
      <c r="Q63">
        <v>4</v>
      </c>
      <c r="R63">
        <v>16</v>
      </c>
    </row>
    <row r="64" spans="1:18" x14ac:dyDescent="0.25">
      <c r="A64" t="s">
        <v>17</v>
      </c>
      <c r="B64" s="1">
        <v>46042</v>
      </c>
      <c r="C64" t="s">
        <v>18</v>
      </c>
      <c r="D64">
        <v>32.42</v>
      </c>
      <c r="E64" t="s">
        <v>123</v>
      </c>
      <c r="F64" t="s">
        <v>39</v>
      </c>
      <c r="G64" t="s">
        <v>40</v>
      </c>
      <c r="H64" t="s">
        <v>83</v>
      </c>
      <c r="I64" s="3" t="str">
        <f>VLOOKUP(Tabla1[[#This Row],[Articulo]],Tabla2[[Descripcion]:[Moneda]],3,FALSE)</f>
        <v>$</v>
      </c>
      <c r="J64" s="2">
        <f>VLOOKUP(Tabla1[[#This Row],[Articulo]],Tabla2[],4,FALSE)</f>
        <v>101000</v>
      </c>
      <c r="K64" s="2">
        <f t="shared" si="1"/>
        <v>65.161290322580641</v>
      </c>
      <c r="L64" s="2">
        <f>Tabla1[[#This Row],[Importe]]*Tabla1[[#This Row],[Cantidad]]</f>
        <v>2112.5290322580645</v>
      </c>
      <c r="M64" s="1">
        <v>46121</v>
      </c>
      <c r="N64" t="str">
        <f>TEXT(Tabla1[[#This Row],[Fecha Entrega]],"mmmm")</f>
        <v>abril</v>
      </c>
      <c r="O64" t="s">
        <v>31</v>
      </c>
      <c r="P64" t="s">
        <v>144</v>
      </c>
      <c r="Q64">
        <v>4</v>
      </c>
      <c r="R64">
        <v>17</v>
      </c>
    </row>
    <row r="65" spans="1:18" x14ac:dyDescent="0.25">
      <c r="A65" t="s">
        <v>17</v>
      </c>
      <c r="B65" s="1">
        <v>46042</v>
      </c>
      <c r="C65" t="s">
        <v>18</v>
      </c>
      <c r="D65">
        <v>33.78</v>
      </c>
      <c r="E65" t="s">
        <v>123</v>
      </c>
      <c r="F65" t="s">
        <v>39</v>
      </c>
      <c r="G65" t="s">
        <v>40</v>
      </c>
      <c r="H65" t="s">
        <v>83</v>
      </c>
      <c r="I65" s="3" t="str">
        <f>VLOOKUP(Tabla1[[#This Row],[Articulo]],Tabla2[[Descripcion]:[Moneda]],3,FALSE)</f>
        <v>$</v>
      </c>
      <c r="J65" s="2">
        <f>VLOOKUP(Tabla1[[#This Row],[Articulo]],Tabla2[],4,FALSE)</f>
        <v>101000</v>
      </c>
      <c r="K65" s="2">
        <f t="shared" si="1"/>
        <v>65.161290322580641</v>
      </c>
      <c r="L65" s="2">
        <f>Tabla1[[#This Row],[Importe]]*Tabla1[[#This Row],[Cantidad]]</f>
        <v>2201.1483870967741</v>
      </c>
      <c r="M65" s="1">
        <v>46125</v>
      </c>
      <c r="N65" t="str">
        <f>TEXT(Tabla1[[#This Row],[Fecha Entrega]],"mmmm")</f>
        <v>abril</v>
      </c>
      <c r="O65" t="s">
        <v>31</v>
      </c>
      <c r="P65" t="s">
        <v>146</v>
      </c>
      <c r="Q65">
        <v>4</v>
      </c>
      <c r="R65">
        <v>17</v>
      </c>
    </row>
    <row r="66" spans="1:18" x14ac:dyDescent="0.25">
      <c r="A66" t="s">
        <v>17</v>
      </c>
      <c r="B66" s="1">
        <v>46042</v>
      </c>
      <c r="C66" t="s">
        <v>18</v>
      </c>
      <c r="D66">
        <v>30.2</v>
      </c>
      <c r="E66" t="s">
        <v>123</v>
      </c>
      <c r="F66" t="s">
        <v>39</v>
      </c>
      <c r="G66" t="s">
        <v>40</v>
      </c>
      <c r="H66" t="s">
        <v>83</v>
      </c>
      <c r="I66" s="3" t="str">
        <f>VLOOKUP(Tabla1[[#This Row],[Articulo]],Tabla2[[Descripcion]:[Moneda]],3,FALSE)</f>
        <v>$</v>
      </c>
      <c r="J66" s="2">
        <f>VLOOKUP(Tabla1[[#This Row],[Articulo]],Tabla2[],4,FALSE)</f>
        <v>101000</v>
      </c>
      <c r="K66" s="2">
        <f t="shared" si="1"/>
        <v>65.161290322580641</v>
      </c>
      <c r="L66" s="2">
        <f>Tabla1[[#This Row],[Importe]]*Tabla1[[#This Row],[Cantidad]]</f>
        <v>1967.8709677419354</v>
      </c>
      <c r="M66" s="1">
        <v>46127</v>
      </c>
      <c r="N66" t="str">
        <f>TEXT(Tabla1[[#This Row],[Fecha Entrega]],"mmmm")</f>
        <v>abril</v>
      </c>
      <c r="O66" t="s">
        <v>31</v>
      </c>
      <c r="P66" t="s">
        <v>147</v>
      </c>
      <c r="Q66">
        <v>4</v>
      </c>
      <c r="R66">
        <v>18</v>
      </c>
    </row>
    <row r="67" spans="1:18" x14ac:dyDescent="0.25">
      <c r="A67" t="s">
        <v>17</v>
      </c>
      <c r="B67" s="1">
        <v>46042</v>
      </c>
      <c r="C67" t="s">
        <v>18</v>
      </c>
      <c r="D67">
        <v>32.32</v>
      </c>
      <c r="E67" t="s">
        <v>123</v>
      </c>
      <c r="F67" t="s">
        <v>39</v>
      </c>
      <c r="G67" t="s">
        <v>40</v>
      </c>
      <c r="H67" t="s">
        <v>83</v>
      </c>
      <c r="I67" s="3" t="str">
        <f>VLOOKUP(Tabla1[[#This Row],[Articulo]],Tabla2[[Descripcion]:[Moneda]],3,FALSE)</f>
        <v>$</v>
      </c>
      <c r="J67" s="2">
        <f>VLOOKUP(Tabla1[[#This Row],[Articulo]],Tabla2[],4,FALSE)</f>
        <v>101000</v>
      </c>
      <c r="K67" s="2">
        <f t="shared" si="1"/>
        <v>65.161290322580641</v>
      </c>
      <c r="L67" s="2">
        <f>Tabla1[[#This Row],[Importe]]*Tabla1[[#This Row],[Cantidad]]</f>
        <v>2106.0129032258064</v>
      </c>
      <c r="M67" s="1">
        <v>46129</v>
      </c>
      <c r="N67" t="str">
        <f>TEXT(Tabla1[[#This Row],[Fecha Entrega]],"mmmm")</f>
        <v>abril</v>
      </c>
      <c r="O67" t="s">
        <v>31</v>
      </c>
      <c r="P67" t="s">
        <v>151</v>
      </c>
      <c r="Q67">
        <v>4</v>
      </c>
      <c r="R67">
        <v>18</v>
      </c>
    </row>
    <row r="68" spans="1:18" x14ac:dyDescent="0.25">
      <c r="A68" t="s">
        <v>17</v>
      </c>
      <c r="B68" s="1">
        <v>46042</v>
      </c>
      <c r="C68" t="s">
        <v>18</v>
      </c>
      <c r="D68">
        <v>32.06</v>
      </c>
      <c r="E68" t="s">
        <v>123</v>
      </c>
      <c r="F68" t="s">
        <v>39</v>
      </c>
      <c r="G68" t="s">
        <v>40</v>
      </c>
      <c r="H68" t="s">
        <v>83</v>
      </c>
      <c r="I68" s="3" t="str">
        <f>VLOOKUP(Tabla1[[#This Row],[Articulo]],Tabla2[[Descripcion]:[Moneda]],3,FALSE)</f>
        <v>$</v>
      </c>
      <c r="J68" s="2">
        <f>VLOOKUP(Tabla1[[#This Row],[Articulo]],Tabla2[],4,FALSE)</f>
        <v>101000</v>
      </c>
      <c r="K68" s="2">
        <f t="shared" si="1"/>
        <v>65.161290322580641</v>
      </c>
      <c r="L68" s="2">
        <f>Tabla1[[#This Row],[Importe]]*Tabla1[[#This Row],[Cantidad]]</f>
        <v>2089.0709677419354</v>
      </c>
      <c r="M68" s="1">
        <v>46143</v>
      </c>
      <c r="N68" t="str">
        <f>TEXT(Tabla1[[#This Row],[Fecha Entrega]],"mmmm")</f>
        <v>mayo</v>
      </c>
      <c r="O68" t="s">
        <v>31</v>
      </c>
      <c r="P68" t="s">
        <v>152</v>
      </c>
      <c r="Q68">
        <v>4</v>
      </c>
      <c r="R68">
        <v>19</v>
      </c>
    </row>
    <row r="69" spans="1:18" x14ac:dyDescent="0.25">
      <c r="A69" t="s">
        <v>17</v>
      </c>
      <c r="B69" s="1">
        <v>46042</v>
      </c>
      <c r="C69" t="s">
        <v>18</v>
      </c>
      <c r="D69">
        <v>29.92</v>
      </c>
      <c r="E69" t="s">
        <v>123</v>
      </c>
      <c r="F69" t="s">
        <v>39</v>
      </c>
      <c r="G69" t="s">
        <v>40</v>
      </c>
      <c r="H69" t="s">
        <v>83</v>
      </c>
      <c r="I69" s="3" t="str">
        <f>VLOOKUP(Tabla1[[#This Row],[Articulo]],Tabla2[[Descripcion]:[Moneda]],3,FALSE)</f>
        <v>$</v>
      </c>
      <c r="J69" s="2">
        <f>VLOOKUP(Tabla1[[#This Row],[Articulo]],Tabla2[],4,FALSE)</f>
        <v>101000</v>
      </c>
      <c r="K69" s="2">
        <f t="shared" si="1"/>
        <v>65.161290322580641</v>
      </c>
      <c r="L69" s="2">
        <f>Tabla1[[#This Row],[Importe]]*Tabla1[[#This Row],[Cantidad]]</f>
        <v>1949.6258064516128</v>
      </c>
      <c r="M69" s="1">
        <v>46147</v>
      </c>
      <c r="N69" t="str">
        <f>TEXT(Tabla1[[#This Row],[Fecha Entrega]],"mmmm")</f>
        <v>mayo</v>
      </c>
      <c r="O69" t="s">
        <v>31</v>
      </c>
      <c r="P69" t="s">
        <v>153</v>
      </c>
      <c r="Q69">
        <v>4</v>
      </c>
      <c r="R69">
        <v>19</v>
      </c>
    </row>
    <row r="70" spans="1:18" x14ac:dyDescent="0.25">
      <c r="A70" t="s">
        <v>17</v>
      </c>
      <c r="B70" s="1">
        <v>46042</v>
      </c>
      <c r="C70" t="s">
        <v>18</v>
      </c>
      <c r="D70">
        <v>28.14</v>
      </c>
      <c r="E70" t="s">
        <v>123</v>
      </c>
      <c r="F70" t="s">
        <v>39</v>
      </c>
      <c r="G70" t="s">
        <v>40</v>
      </c>
      <c r="H70" t="s">
        <v>83</v>
      </c>
      <c r="I70" s="3" t="str">
        <f>VLOOKUP(Tabla1[[#This Row],[Articulo]],Tabla2[[Descripcion]:[Moneda]],3,FALSE)</f>
        <v>$</v>
      </c>
      <c r="J70" s="2">
        <f>VLOOKUP(Tabla1[[#This Row],[Articulo]],Tabla2[],4,FALSE)</f>
        <v>101000</v>
      </c>
      <c r="K70" s="2">
        <f t="shared" si="1"/>
        <v>65.161290322580641</v>
      </c>
      <c r="L70" s="2">
        <f>Tabla1[[#This Row],[Importe]]*Tabla1[[#This Row],[Cantidad]]</f>
        <v>1833.6387096774192</v>
      </c>
      <c r="M70" s="1">
        <v>46134</v>
      </c>
      <c r="N70" t="str">
        <f>TEXT(Tabla1[[#This Row],[Fecha Entrega]],"mmmm")</f>
        <v>abril</v>
      </c>
      <c r="O70" t="s">
        <v>31</v>
      </c>
      <c r="P70" t="s">
        <v>154</v>
      </c>
      <c r="Q70">
        <v>4</v>
      </c>
      <c r="R70">
        <v>20</v>
      </c>
    </row>
    <row r="71" spans="1:18" x14ac:dyDescent="0.25">
      <c r="A71" t="s">
        <v>17</v>
      </c>
      <c r="B71" s="1">
        <v>46042</v>
      </c>
      <c r="C71" t="s">
        <v>18</v>
      </c>
      <c r="D71">
        <v>28.8</v>
      </c>
      <c r="E71" t="s">
        <v>123</v>
      </c>
      <c r="F71" t="s">
        <v>39</v>
      </c>
      <c r="G71" t="s">
        <v>40</v>
      </c>
      <c r="H71" t="s">
        <v>83</v>
      </c>
      <c r="I71" s="3" t="str">
        <f>VLOOKUP(Tabla1[[#This Row],[Articulo]],Tabla2[[Descripcion]:[Moneda]],3,FALSE)</f>
        <v>$</v>
      </c>
      <c r="J71" s="2">
        <f>VLOOKUP(Tabla1[[#This Row],[Articulo]],Tabla2[],4,FALSE)</f>
        <v>101000</v>
      </c>
      <c r="K71" s="2">
        <f t="shared" si="1"/>
        <v>65.161290322580641</v>
      </c>
      <c r="L71" s="2">
        <f>Tabla1[[#This Row],[Importe]]*Tabla1[[#This Row],[Cantidad]]</f>
        <v>1876.6451612903224</v>
      </c>
      <c r="M71" s="1">
        <v>46136</v>
      </c>
      <c r="N71" t="str">
        <f>TEXT(Tabla1[[#This Row],[Fecha Entrega]],"mmmm")</f>
        <v>abril</v>
      </c>
      <c r="O71" t="s">
        <v>31</v>
      </c>
      <c r="P71" t="s">
        <v>156</v>
      </c>
      <c r="Q71">
        <v>4</v>
      </c>
      <c r="R71">
        <v>20</v>
      </c>
    </row>
    <row r="72" spans="1:18" x14ac:dyDescent="0.25">
      <c r="A72" t="s">
        <v>17</v>
      </c>
      <c r="B72" s="1">
        <v>46042</v>
      </c>
      <c r="C72" t="s">
        <v>18</v>
      </c>
      <c r="D72">
        <v>29.36</v>
      </c>
      <c r="E72" t="s">
        <v>123</v>
      </c>
      <c r="F72" t="s">
        <v>39</v>
      </c>
      <c r="G72" t="s">
        <v>40</v>
      </c>
      <c r="H72" t="s">
        <v>83</v>
      </c>
      <c r="I72" s="3" t="str">
        <f>VLOOKUP(Tabla1[[#This Row],[Articulo]],Tabla2[[Descripcion]:[Moneda]],3,FALSE)</f>
        <v>$</v>
      </c>
      <c r="J72" s="2">
        <f>VLOOKUP(Tabla1[[#This Row],[Articulo]],Tabla2[],4,FALSE)</f>
        <v>101000</v>
      </c>
      <c r="K72" s="2">
        <f t="shared" si="1"/>
        <v>65.161290322580641</v>
      </c>
      <c r="L72" s="2">
        <f>Tabla1[[#This Row],[Importe]]*Tabla1[[#This Row],[Cantidad]]</f>
        <v>1913.1354838709676</v>
      </c>
      <c r="M72" s="1">
        <v>46157</v>
      </c>
      <c r="N72" t="str">
        <f>TEXT(Tabla1[[#This Row],[Fecha Entrega]],"mmmm")</f>
        <v>mayo</v>
      </c>
      <c r="O72" t="s">
        <v>31</v>
      </c>
      <c r="P72" t="s">
        <v>157</v>
      </c>
      <c r="Q72">
        <v>4</v>
      </c>
      <c r="R72">
        <v>21</v>
      </c>
    </row>
    <row r="73" spans="1:18" x14ac:dyDescent="0.25">
      <c r="A73" t="s">
        <v>17</v>
      </c>
      <c r="B73" s="1">
        <v>46042</v>
      </c>
      <c r="C73" t="s">
        <v>18</v>
      </c>
      <c r="D73">
        <v>29.66</v>
      </c>
      <c r="E73" t="s">
        <v>123</v>
      </c>
      <c r="F73" t="s">
        <v>39</v>
      </c>
      <c r="G73" t="s">
        <v>40</v>
      </c>
      <c r="H73" t="s">
        <v>83</v>
      </c>
      <c r="I73" s="3" t="str">
        <f>VLOOKUP(Tabla1[[#This Row],[Articulo]],Tabla2[[Descripcion]:[Moneda]],3,FALSE)</f>
        <v>$</v>
      </c>
      <c r="J73" s="2">
        <f>VLOOKUP(Tabla1[[#This Row],[Articulo]],Tabla2[],4,FALSE)</f>
        <v>101000</v>
      </c>
      <c r="K73" s="2">
        <f t="shared" si="1"/>
        <v>65.161290322580641</v>
      </c>
      <c r="L73" s="2">
        <f>Tabla1[[#This Row],[Importe]]*Tabla1[[#This Row],[Cantidad]]</f>
        <v>1932.6838709677418</v>
      </c>
      <c r="M73" s="1">
        <v>46161</v>
      </c>
      <c r="N73" t="str">
        <f>TEXT(Tabla1[[#This Row],[Fecha Entrega]],"mmmm")</f>
        <v>mayo</v>
      </c>
      <c r="O73" t="s">
        <v>31</v>
      </c>
      <c r="P73" t="s">
        <v>159</v>
      </c>
      <c r="Q73">
        <v>4</v>
      </c>
      <c r="R73">
        <v>21</v>
      </c>
    </row>
    <row r="74" spans="1:18" x14ac:dyDescent="0.25">
      <c r="A74" t="s">
        <v>17</v>
      </c>
      <c r="B74" s="1">
        <v>46042</v>
      </c>
      <c r="C74" t="s">
        <v>18</v>
      </c>
      <c r="D74">
        <v>31.3</v>
      </c>
      <c r="E74" t="s">
        <v>123</v>
      </c>
      <c r="F74" t="s">
        <v>39</v>
      </c>
      <c r="G74" t="s">
        <v>40</v>
      </c>
      <c r="H74" t="s">
        <v>83</v>
      </c>
      <c r="I74" s="3" t="str">
        <f>VLOOKUP(Tabla1[[#This Row],[Articulo]],Tabla2[[Descripcion]:[Moneda]],3,FALSE)</f>
        <v>$</v>
      </c>
      <c r="J74" s="2">
        <f>VLOOKUP(Tabla1[[#This Row],[Articulo]],Tabla2[],4,FALSE)</f>
        <v>101000</v>
      </c>
      <c r="K74" s="2">
        <f t="shared" si="1"/>
        <v>65.161290322580641</v>
      </c>
      <c r="L74" s="2">
        <f>Tabla1[[#This Row],[Importe]]*Tabla1[[#This Row],[Cantidad]]</f>
        <v>2039.5483870967741</v>
      </c>
      <c r="M74" s="1">
        <v>46164</v>
      </c>
      <c r="N74" t="str">
        <f>TEXT(Tabla1[[#This Row],[Fecha Entrega]],"mmmm")</f>
        <v>mayo</v>
      </c>
      <c r="O74" t="s">
        <v>31</v>
      </c>
      <c r="P74" t="s">
        <v>161</v>
      </c>
      <c r="Q74">
        <v>4</v>
      </c>
      <c r="R74">
        <v>22</v>
      </c>
    </row>
    <row r="75" spans="1:18" x14ac:dyDescent="0.25">
      <c r="A75" t="s">
        <v>17</v>
      </c>
      <c r="B75" s="1">
        <v>46042</v>
      </c>
      <c r="C75" t="s">
        <v>18</v>
      </c>
      <c r="D75">
        <v>28.38</v>
      </c>
      <c r="E75" t="s">
        <v>123</v>
      </c>
      <c r="F75" t="s">
        <v>39</v>
      </c>
      <c r="G75" t="s">
        <v>40</v>
      </c>
      <c r="H75" t="s">
        <v>83</v>
      </c>
      <c r="I75" s="3" t="str">
        <f>VLOOKUP(Tabla1[[#This Row],[Articulo]],Tabla2[[Descripcion]:[Moneda]],3,FALSE)</f>
        <v>$</v>
      </c>
      <c r="J75" s="2">
        <f>VLOOKUP(Tabla1[[#This Row],[Articulo]],Tabla2[],4,FALSE)</f>
        <v>101000</v>
      </c>
      <c r="K75" s="2">
        <f t="shared" ref="K75:K106" si="2">IF(I75="$", J75/$H$1, IF(I75="U$D", J75*1, 0))</f>
        <v>65.161290322580641</v>
      </c>
      <c r="L75" s="2">
        <f>Tabla1[[#This Row],[Importe]]*Tabla1[[#This Row],[Cantidad]]</f>
        <v>1849.2774193548385</v>
      </c>
      <c r="M75" s="1">
        <v>46150</v>
      </c>
      <c r="N75" t="str">
        <f>TEXT(Tabla1[[#This Row],[Fecha Entrega]],"mmmm")</f>
        <v>mayo</v>
      </c>
      <c r="O75" t="s">
        <v>31</v>
      </c>
      <c r="P75" t="s">
        <v>165</v>
      </c>
    </row>
    <row r="76" spans="1:18" x14ac:dyDescent="0.25">
      <c r="A76" t="s">
        <v>17</v>
      </c>
      <c r="B76" s="1">
        <v>46043</v>
      </c>
      <c r="C76" t="s">
        <v>18</v>
      </c>
      <c r="D76">
        <v>32.119999999999997</v>
      </c>
      <c r="E76" t="s">
        <v>123</v>
      </c>
      <c r="F76" t="s">
        <v>39</v>
      </c>
      <c r="G76" t="s">
        <v>40</v>
      </c>
      <c r="H76" t="s">
        <v>83</v>
      </c>
      <c r="I76" s="3" t="str">
        <f>VLOOKUP(Tabla1[[#This Row],[Articulo]],Tabla2[[Descripcion]:[Moneda]],3,FALSE)</f>
        <v>$</v>
      </c>
      <c r="J76" s="2">
        <f>VLOOKUP(Tabla1[[#This Row],[Articulo]],Tabla2[],4,FALSE)</f>
        <v>101000</v>
      </c>
      <c r="K76" s="2">
        <f t="shared" si="2"/>
        <v>65.161290322580641</v>
      </c>
      <c r="L76" s="2">
        <f>Tabla1[[#This Row],[Importe]]*Tabla1[[#This Row],[Cantidad]]</f>
        <v>2092.9806451612899</v>
      </c>
      <c r="M76" s="1">
        <v>46162</v>
      </c>
      <c r="N76" t="str">
        <f>TEXT(Tabla1[[#This Row],[Fecha Entrega]],"mmmm")</f>
        <v>mayo</v>
      </c>
      <c r="O76" t="s">
        <v>31</v>
      </c>
      <c r="P76" t="s">
        <v>170</v>
      </c>
    </row>
    <row r="77" spans="1:18" x14ac:dyDescent="0.25">
      <c r="A77" t="s">
        <v>17</v>
      </c>
      <c r="B77" s="1">
        <v>46043</v>
      </c>
      <c r="C77" t="s">
        <v>18</v>
      </c>
      <c r="D77">
        <v>29.64</v>
      </c>
      <c r="E77" t="s">
        <v>123</v>
      </c>
      <c r="F77" t="s">
        <v>39</v>
      </c>
      <c r="G77" t="s">
        <v>40</v>
      </c>
      <c r="H77" t="s">
        <v>83</v>
      </c>
      <c r="I77" s="3" t="str">
        <f>VLOOKUP(Tabla1[[#This Row],[Articulo]],Tabla2[[Descripcion]:[Moneda]],3,FALSE)</f>
        <v>$</v>
      </c>
      <c r="J77" s="2">
        <f>VLOOKUP(Tabla1[[#This Row],[Articulo]],Tabla2[],4,FALSE)</f>
        <v>101000</v>
      </c>
      <c r="K77" s="2">
        <f t="shared" si="2"/>
        <v>65.161290322580641</v>
      </c>
      <c r="L77" s="2">
        <f>Tabla1[[#This Row],[Importe]]*Tabla1[[#This Row],[Cantidad]]</f>
        <v>1931.3806451612902</v>
      </c>
      <c r="M77" s="1">
        <v>46185</v>
      </c>
      <c r="N77" t="str">
        <f>TEXT(Tabla1[[#This Row],[Fecha Entrega]],"mmmm")</f>
        <v>junio</v>
      </c>
      <c r="O77" t="s">
        <v>31</v>
      </c>
      <c r="P77" t="s">
        <v>178</v>
      </c>
    </row>
    <row r="78" spans="1:18" x14ac:dyDescent="0.25">
      <c r="A78" t="s">
        <v>17</v>
      </c>
      <c r="B78" s="1">
        <v>46042</v>
      </c>
      <c r="C78" t="s">
        <v>18</v>
      </c>
      <c r="D78">
        <v>28.8</v>
      </c>
      <c r="E78" t="s">
        <v>123</v>
      </c>
      <c r="F78" t="s">
        <v>43</v>
      </c>
      <c r="G78" t="s">
        <v>40</v>
      </c>
      <c r="H78" t="s">
        <v>83</v>
      </c>
      <c r="I78" s="3" t="str">
        <f>VLOOKUP(Tabla1[[#This Row],[Articulo]],Tabla2[[Descripcion]:[Moneda]],3,FALSE)</f>
        <v>$</v>
      </c>
      <c r="J78" s="2">
        <f>VLOOKUP(Tabla1[[#This Row],[Articulo]],Tabla2[],4,FALSE)</f>
        <v>137500</v>
      </c>
      <c r="K78" s="2">
        <f t="shared" si="2"/>
        <v>88.709677419354833</v>
      </c>
      <c r="L78" s="2">
        <f>Tabla1[[#This Row],[Importe]]*Tabla1[[#This Row],[Cantidad]]</f>
        <v>2554.838709677419</v>
      </c>
      <c r="M78" s="1">
        <v>46069</v>
      </c>
      <c r="N78" t="str">
        <f>TEXT(Tabla1[[#This Row],[Fecha Entrega]],"mmmm")</f>
        <v>febrero</v>
      </c>
      <c r="O78" t="s">
        <v>31</v>
      </c>
      <c r="Q78">
        <v>4</v>
      </c>
      <c r="R78">
        <v>8</v>
      </c>
    </row>
    <row r="79" spans="1:18" x14ac:dyDescent="0.25">
      <c r="A79" t="s">
        <v>17</v>
      </c>
      <c r="B79" s="1">
        <v>46042</v>
      </c>
      <c r="C79" t="s">
        <v>18</v>
      </c>
      <c r="D79">
        <v>28.28</v>
      </c>
      <c r="E79" t="s">
        <v>123</v>
      </c>
      <c r="F79" t="s">
        <v>43</v>
      </c>
      <c r="G79" t="s">
        <v>40</v>
      </c>
      <c r="H79" t="s">
        <v>83</v>
      </c>
      <c r="I79" s="3" t="str">
        <f>VLOOKUP(Tabla1[[#This Row],[Articulo]],Tabla2[[Descripcion]:[Moneda]],3,FALSE)</f>
        <v>$</v>
      </c>
      <c r="J79" s="2">
        <f>VLOOKUP(Tabla1[[#This Row],[Articulo]],Tabla2[],4,FALSE)</f>
        <v>137500</v>
      </c>
      <c r="K79" s="2">
        <f t="shared" si="2"/>
        <v>88.709677419354833</v>
      </c>
      <c r="L79" s="2">
        <f>Tabla1[[#This Row],[Importe]]*Tabla1[[#This Row],[Cantidad]]</f>
        <v>2508.7096774193546</v>
      </c>
      <c r="M79" s="1">
        <v>46081</v>
      </c>
      <c r="N79" t="str">
        <f>TEXT(Tabla1[[#This Row],[Fecha Entrega]],"mmmm")</f>
        <v>febrero</v>
      </c>
      <c r="O79" t="s">
        <v>31</v>
      </c>
      <c r="Q79">
        <v>4</v>
      </c>
      <c r="R79">
        <v>9</v>
      </c>
    </row>
    <row r="80" spans="1:18" x14ac:dyDescent="0.25">
      <c r="A80" t="s">
        <v>17</v>
      </c>
      <c r="B80" s="1">
        <v>46042</v>
      </c>
      <c r="C80" t="s">
        <v>18</v>
      </c>
      <c r="D80">
        <v>28.8</v>
      </c>
      <c r="E80" t="s">
        <v>123</v>
      </c>
      <c r="F80" t="s">
        <v>43</v>
      </c>
      <c r="G80" t="s">
        <v>40</v>
      </c>
      <c r="H80" t="s">
        <v>83</v>
      </c>
      <c r="I80" s="3" t="str">
        <f>VLOOKUP(Tabla1[[#This Row],[Articulo]],Tabla2[[Descripcion]:[Moneda]],3,FALSE)</f>
        <v>$</v>
      </c>
      <c r="J80" s="2">
        <f>VLOOKUP(Tabla1[[#This Row],[Articulo]],Tabla2[],4,FALSE)</f>
        <v>137500</v>
      </c>
      <c r="K80" s="2">
        <f t="shared" si="2"/>
        <v>88.709677419354833</v>
      </c>
      <c r="L80" s="2">
        <f>Tabla1[[#This Row],[Importe]]*Tabla1[[#This Row],[Cantidad]]</f>
        <v>2554.838709677419</v>
      </c>
      <c r="M80" s="1">
        <v>46088</v>
      </c>
      <c r="N80" t="str">
        <f>TEXT(Tabla1[[#This Row],[Fecha Entrega]],"mmmm")</f>
        <v>marzo</v>
      </c>
      <c r="O80" t="s">
        <v>31</v>
      </c>
      <c r="Q80">
        <v>4</v>
      </c>
      <c r="R80">
        <v>12</v>
      </c>
    </row>
    <row r="81" spans="1:19" x14ac:dyDescent="0.25">
      <c r="A81" t="s">
        <v>17</v>
      </c>
      <c r="B81" s="1">
        <v>46042</v>
      </c>
      <c r="C81" t="s">
        <v>18</v>
      </c>
      <c r="D81">
        <v>28.8</v>
      </c>
      <c r="E81" t="s">
        <v>123</v>
      </c>
      <c r="F81" t="s">
        <v>43</v>
      </c>
      <c r="G81" t="s">
        <v>40</v>
      </c>
      <c r="H81" t="s">
        <v>83</v>
      </c>
      <c r="I81" s="3" t="str">
        <f>VLOOKUP(Tabla1[[#This Row],[Articulo]],Tabla2[[Descripcion]:[Moneda]],3,FALSE)</f>
        <v>$</v>
      </c>
      <c r="J81" s="2">
        <f>VLOOKUP(Tabla1[[#This Row],[Articulo]],Tabla2[],4,FALSE)</f>
        <v>137500</v>
      </c>
      <c r="K81" s="2">
        <f t="shared" si="2"/>
        <v>88.709677419354833</v>
      </c>
      <c r="L81" s="2">
        <f>Tabla1[[#This Row],[Importe]]*Tabla1[[#This Row],[Cantidad]]</f>
        <v>2554.838709677419</v>
      </c>
      <c r="M81" s="1">
        <v>46101</v>
      </c>
      <c r="N81" t="str">
        <f>TEXT(Tabla1[[#This Row],[Fecha Entrega]],"mmmm")</f>
        <v>marzo</v>
      </c>
      <c r="O81" t="s">
        <v>31</v>
      </c>
      <c r="P81" t="s">
        <v>126</v>
      </c>
      <c r="Q81">
        <v>4</v>
      </c>
      <c r="R81">
        <v>14</v>
      </c>
    </row>
    <row r="82" spans="1:19" x14ac:dyDescent="0.25">
      <c r="A82" t="s">
        <v>17</v>
      </c>
      <c r="B82" s="1">
        <v>46042</v>
      </c>
      <c r="C82" t="s">
        <v>18</v>
      </c>
      <c r="D82">
        <v>28</v>
      </c>
      <c r="E82" t="s">
        <v>123</v>
      </c>
      <c r="F82" t="s">
        <v>43</v>
      </c>
      <c r="G82" t="s">
        <v>40</v>
      </c>
      <c r="H82" t="s">
        <v>83</v>
      </c>
      <c r="I82" s="3" t="str">
        <f>VLOOKUP(Tabla1[[#This Row],[Articulo]],Tabla2[[Descripcion]:[Moneda]],3,FALSE)</f>
        <v>$</v>
      </c>
      <c r="J82" s="2">
        <f>VLOOKUP(Tabla1[[#This Row],[Articulo]],Tabla2[],4,FALSE)</f>
        <v>137500</v>
      </c>
      <c r="K82" s="2">
        <f t="shared" si="2"/>
        <v>88.709677419354833</v>
      </c>
      <c r="L82" s="2">
        <f>Tabla1[[#This Row],[Importe]]*Tabla1[[#This Row],[Cantidad]]</f>
        <v>2483.8709677419351</v>
      </c>
      <c r="M82" s="1">
        <v>46114</v>
      </c>
      <c r="N82" t="str">
        <f>TEXT(Tabla1[[#This Row],[Fecha Entrega]],"mmmm")</f>
        <v>abril</v>
      </c>
      <c r="O82" t="s">
        <v>31</v>
      </c>
      <c r="Q82">
        <v>4</v>
      </c>
      <c r="R82">
        <v>15</v>
      </c>
    </row>
    <row r="83" spans="1:19" x14ac:dyDescent="0.25">
      <c r="A83" t="s">
        <v>17</v>
      </c>
      <c r="B83" s="1">
        <v>46042</v>
      </c>
      <c r="C83" t="s">
        <v>18</v>
      </c>
      <c r="D83">
        <v>27.6</v>
      </c>
      <c r="E83" t="s">
        <v>123</v>
      </c>
      <c r="F83" t="s">
        <v>43</v>
      </c>
      <c r="G83" t="s">
        <v>40</v>
      </c>
      <c r="H83" t="s">
        <v>83</v>
      </c>
      <c r="I83" s="3" t="str">
        <f>VLOOKUP(Tabla1[[#This Row],[Articulo]],Tabla2[[Descripcion]:[Moneda]],3,FALSE)</f>
        <v>$</v>
      </c>
      <c r="J83" s="2">
        <f>VLOOKUP(Tabla1[[#This Row],[Articulo]],Tabla2[],4,FALSE)</f>
        <v>137500</v>
      </c>
      <c r="K83" s="2">
        <f t="shared" si="2"/>
        <v>88.709677419354833</v>
      </c>
      <c r="L83" s="2">
        <f>Tabla1[[#This Row],[Importe]]*Tabla1[[#This Row],[Cantidad]]</f>
        <v>2448.3870967741937</v>
      </c>
      <c r="M83" s="1">
        <v>46129</v>
      </c>
      <c r="N83" t="str">
        <f>TEXT(Tabla1[[#This Row],[Fecha Entrega]],"mmmm")</f>
        <v>abril</v>
      </c>
      <c r="O83" t="s">
        <v>31</v>
      </c>
      <c r="P83" t="s">
        <v>150</v>
      </c>
      <c r="Q83">
        <v>4</v>
      </c>
      <c r="R83">
        <v>17</v>
      </c>
    </row>
    <row r="84" spans="1:19" x14ac:dyDescent="0.25">
      <c r="A84" t="s">
        <v>17</v>
      </c>
      <c r="B84" s="1">
        <v>46042</v>
      </c>
      <c r="C84" t="s">
        <v>18</v>
      </c>
      <c r="D84">
        <v>14.8</v>
      </c>
      <c r="E84" t="s">
        <v>123</v>
      </c>
      <c r="F84" t="s">
        <v>43</v>
      </c>
      <c r="G84" t="s">
        <v>40</v>
      </c>
      <c r="H84" t="s">
        <v>83</v>
      </c>
      <c r="I84" s="3" t="str">
        <f>VLOOKUP(Tabla1[[#This Row],[Articulo]],Tabla2[[Descripcion]:[Moneda]],3,FALSE)</f>
        <v>$</v>
      </c>
      <c r="J84" s="2">
        <f>VLOOKUP(Tabla1[[#This Row],[Articulo]],Tabla2[],4,FALSE)</f>
        <v>137500</v>
      </c>
      <c r="K84" s="2">
        <f t="shared" si="2"/>
        <v>88.709677419354833</v>
      </c>
      <c r="L84" s="2">
        <f>Tabla1[[#This Row],[Importe]]*Tabla1[[#This Row],[Cantidad]]</f>
        <v>1312.9032258064517</v>
      </c>
      <c r="M84" s="1">
        <v>46153</v>
      </c>
      <c r="N84" t="str">
        <f>TEXT(Tabla1[[#This Row],[Fecha Entrega]],"mmmm")</f>
        <v>mayo</v>
      </c>
      <c r="O84" t="s">
        <v>31</v>
      </c>
      <c r="P84" t="s">
        <v>167</v>
      </c>
    </row>
    <row r="85" spans="1:19" x14ac:dyDescent="0.25">
      <c r="A85" t="s">
        <v>17</v>
      </c>
      <c r="B85" s="1">
        <v>46043</v>
      </c>
      <c r="C85" t="s">
        <v>18</v>
      </c>
      <c r="D85">
        <v>14.8</v>
      </c>
      <c r="E85" t="s">
        <v>123</v>
      </c>
      <c r="F85" t="s">
        <v>168</v>
      </c>
      <c r="G85" t="s">
        <v>40</v>
      </c>
      <c r="H85" t="s">
        <v>83</v>
      </c>
      <c r="I85" s="3" t="str">
        <f>VLOOKUP(Tabla1[[#This Row],[Articulo]],Tabla2[[Descripcion]:[Moneda]],3,FALSE)</f>
        <v>$</v>
      </c>
      <c r="J85" s="2">
        <f>VLOOKUP(Tabla1[[#This Row],[Articulo]],Tabla2[],4,FALSE)</f>
        <v>155000</v>
      </c>
      <c r="K85" s="2">
        <f t="shared" si="2"/>
        <v>100</v>
      </c>
      <c r="L85" s="2">
        <f>Tabla1[[#This Row],[Importe]]*Tabla1[[#This Row],[Cantidad]]</f>
        <v>1480</v>
      </c>
      <c r="M85" s="1">
        <v>46153</v>
      </c>
      <c r="N85" t="str">
        <f>TEXT(Tabla1[[#This Row],[Fecha Entrega]],"mmmm")</f>
        <v>mayo</v>
      </c>
      <c r="O85" t="s">
        <v>31</v>
      </c>
      <c r="P85" t="s">
        <v>167</v>
      </c>
    </row>
    <row r="86" spans="1:19" x14ac:dyDescent="0.25">
      <c r="A86" t="s">
        <v>17</v>
      </c>
      <c r="B86" s="1">
        <v>46044</v>
      </c>
      <c r="C86" t="s">
        <v>18</v>
      </c>
      <c r="D86">
        <v>1000</v>
      </c>
      <c r="E86" t="s">
        <v>19</v>
      </c>
      <c r="F86" t="s">
        <v>48</v>
      </c>
      <c r="H86" t="s">
        <v>52</v>
      </c>
      <c r="I86" s="3" t="str">
        <f>VLOOKUP(Tabla1[[#This Row],[Articulo]],Tabla2[[Descripcion]:[Moneda]],3,FALSE)</f>
        <v>U$D</v>
      </c>
      <c r="J86" s="2">
        <f>VLOOKUP(Tabla1[[#This Row],[Articulo]],Tabla2[],4,FALSE)</f>
        <v>2.95</v>
      </c>
      <c r="K86" s="2">
        <f t="shared" si="2"/>
        <v>2.95</v>
      </c>
      <c r="L86" s="2">
        <f>Tabla1[[#This Row],[Importe]]*Tabla1[[#This Row],[Cantidad]]</f>
        <v>2950</v>
      </c>
      <c r="M86" s="1">
        <v>46066</v>
      </c>
      <c r="N86" t="str">
        <f>TEXT(Tabla1[[#This Row],[Fecha Entrega]],"mmmm")</f>
        <v>febrero</v>
      </c>
      <c r="O86" t="s">
        <v>31</v>
      </c>
      <c r="Q86">
        <v>4</v>
      </c>
      <c r="R86">
        <v>7</v>
      </c>
    </row>
    <row r="87" spans="1:19" x14ac:dyDescent="0.25">
      <c r="A87" t="s">
        <v>17</v>
      </c>
      <c r="B87" s="1">
        <v>46044</v>
      </c>
      <c r="C87" t="s">
        <v>18</v>
      </c>
      <c r="D87">
        <v>1000</v>
      </c>
      <c r="E87" t="s">
        <v>19</v>
      </c>
      <c r="F87" t="s">
        <v>48</v>
      </c>
      <c r="H87" t="s">
        <v>52</v>
      </c>
      <c r="I87" s="3" t="str">
        <f>VLOOKUP(Tabla1[[#This Row],[Articulo]],Tabla2[[Descripcion]:[Moneda]],3,FALSE)</f>
        <v>U$D</v>
      </c>
      <c r="J87" s="2">
        <f>VLOOKUP(Tabla1[[#This Row],[Articulo]],Tabla2[],4,FALSE)</f>
        <v>2.95</v>
      </c>
      <c r="K87" s="2">
        <f t="shared" si="2"/>
        <v>2.95</v>
      </c>
      <c r="L87" s="2">
        <f>Tabla1[[#This Row],[Importe]]*Tabla1[[#This Row],[Cantidad]]</f>
        <v>2950</v>
      </c>
      <c r="M87" s="1">
        <v>46066</v>
      </c>
      <c r="N87" t="str">
        <f>TEXT(Tabla1[[#This Row],[Fecha Entrega]],"mmmm")</f>
        <v>febrero</v>
      </c>
      <c r="O87" t="s">
        <v>31</v>
      </c>
      <c r="Q87">
        <v>4</v>
      </c>
      <c r="R87">
        <v>10</v>
      </c>
    </row>
    <row r="88" spans="1:19" x14ac:dyDescent="0.25">
      <c r="A88" t="s">
        <v>17</v>
      </c>
      <c r="B88" s="1">
        <v>46045</v>
      </c>
      <c r="C88" t="s">
        <v>18</v>
      </c>
      <c r="D88">
        <v>100</v>
      </c>
      <c r="E88" t="s">
        <v>19</v>
      </c>
      <c r="F88" t="s">
        <v>48</v>
      </c>
      <c r="G88" t="s">
        <v>89</v>
      </c>
      <c r="H88" t="s">
        <v>52</v>
      </c>
      <c r="I88" s="3" t="str">
        <f>VLOOKUP(Tabla1[[#This Row],[Articulo]],Tabla2[[Descripcion]:[Moneda]],3,FALSE)</f>
        <v>U$D</v>
      </c>
      <c r="J88" s="2">
        <f>VLOOKUP(Tabla1[[#This Row],[Articulo]],Tabla2[],4,FALSE)</f>
        <v>2.95</v>
      </c>
      <c r="K88" s="2">
        <f t="shared" si="2"/>
        <v>2.95</v>
      </c>
      <c r="L88" s="2">
        <f>Tabla1[[#This Row],[Importe]]*Tabla1[[#This Row],[Cantidad]]</f>
        <v>295</v>
      </c>
      <c r="M88" s="1">
        <v>46170</v>
      </c>
      <c r="N88" t="str">
        <f>TEXT(Tabla1[[#This Row],[Fecha Entrega]],"mmmm")</f>
        <v>mayo</v>
      </c>
      <c r="O88" t="s">
        <v>31</v>
      </c>
      <c r="P88" t="s">
        <v>171</v>
      </c>
    </row>
    <row r="89" spans="1:19" x14ac:dyDescent="0.25">
      <c r="A89" t="s">
        <v>17</v>
      </c>
      <c r="B89" s="1">
        <v>46044</v>
      </c>
      <c r="C89" t="s">
        <v>18</v>
      </c>
      <c r="D89">
        <v>254</v>
      </c>
      <c r="E89" t="s">
        <v>19</v>
      </c>
      <c r="F89" t="s">
        <v>46</v>
      </c>
      <c r="G89" t="s">
        <v>189</v>
      </c>
      <c r="H89" t="s">
        <v>52</v>
      </c>
      <c r="I89" s="3" t="str">
        <f>VLOOKUP(Tabla1[[#This Row],[Articulo]],Tabla2[[Descripcion]:[Moneda]],3,FALSE)</f>
        <v>U$D</v>
      </c>
      <c r="J89" s="2">
        <f>VLOOKUP(Tabla1[[#This Row],[Articulo]],Tabla2[],4,FALSE)</f>
        <v>2.1156999999999999</v>
      </c>
      <c r="K89" s="2">
        <f t="shared" si="2"/>
        <v>2.1156999999999999</v>
      </c>
      <c r="L89" s="2">
        <f>Tabla1[[#This Row],[Importe]]*Tabla1[[#This Row],[Cantidad]]</f>
        <v>537.38779999999997</v>
      </c>
      <c r="M89" s="1">
        <v>46057</v>
      </c>
      <c r="N89" t="str">
        <f>TEXT(Tabla1[[#This Row],[Fecha Entrega]],"mmmm")</f>
        <v>febrero</v>
      </c>
      <c r="O89" t="s">
        <v>31</v>
      </c>
    </row>
    <row r="90" spans="1:19" x14ac:dyDescent="0.25">
      <c r="A90" t="s">
        <v>17</v>
      </c>
      <c r="B90" s="1">
        <v>46044</v>
      </c>
      <c r="C90" t="s">
        <v>18</v>
      </c>
      <c r="D90">
        <v>520</v>
      </c>
      <c r="E90" t="s">
        <v>19</v>
      </c>
      <c r="F90" t="s">
        <v>46</v>
      </c>
      <c r="G90" t="s">
        <v>179</v>
      </c>
      <c r="H90" t="s">
        <v>52</v>
      </c>
      <c r="I90" s="3" t="str">
        <f>VLOOKUP(Tabla1[[#This Row],[Articulo]],Tabla2[[Descripcion]:[Moneda]],3,FALSE)</f>
        <v>U$D</v>
      </c>
      <c r="J90" s="2">
        <f>VLOOKUP(Tabla1[[#This Row],[Articulo]],Tabla2[],4,FALSE)</f>
        <v>2.1156999999999999</v>
      </c>
      <c r="K90" s="2">
        <f t="shared" si="2"/>
        <v>2.1156999999999999</v>
      </c>
      <c r="L90" s="2">
        <f>Tabla1[[#This Row],[Importe]]*Tabla1[[#This Row],[Cantidad]]</f>
        <v>1100.164</v>
      </c>
      <c r="M90" s="1">
        <v>46063</v>
      </c>
      <c r="N90" t="str">
        <f>TEXT(Tabla1[[#This Row],[Fecha Entrega]],"mmmm")</f>
        <v>febrero</v>
      </c>
      <c r="O90" t="s">
        <v>31</v>
      </c>
      <c r="Q90">
        <v>4</v>
      </c>
      <c r="R90">
        <v>7</v>
      </c>
    </row>
    <row r="91" spans="1:19" x14ac:dyDescent="0.25">
      <c r="A91" t="s">
        <v>17</v>
      </c>
      <c r="B91" s="1">
        <v>46044</v>
      </c>
      <c r="C91" t="s">
        <v>18</v>
      </c>
      <c r="D91">
        <v>800</v>
      </c>
      <c r="E91" t="s">
        <v>19</v>
      </c>
      <c r="F91" t="s">
        <v>46</v>
      </c>
      <c r="G91" t="s">
        <v>179</v>
      </c>
      <c r="H91" t="s">
        <v>52</v>
      </c>
      <c r="I91" s="3" t="str">
        <f>VLOOKUP(Tabla1[[#This Row],[Articulo]],Tabla2[[Descripcion]:[Moneda]],3,FALSE)</f>
        <v>U$D</v>
      </c>
      <c r="J91" s="2">
        <f>VLOOKUP(Tabla1[[#This Row],[Articulo]],Tabla2[],4,FALSE)</f>
        <v>2.1156999999999999</v>
      </c>
      <c r="K91" s="2">
        <f t="shared" si="2"/>
        <v>2.1156999999999999</v>
      </c>
      <c r="L91" s="2">
        <f>Tabla1[[#This Row],[Importe]]*Tabla1[[#This Row],[Cantidad]]</f>
        <v>1692.56</v>
      </c>
      <c r="M91" s="1">
        <v>46101</v>
      </c>
      <c r="N91" t="str">
        <f>TEXT(Tabla1[[#This Row],[Fecha Entrega]],"mmmm")</f>
        <v>marzo</v>
      </c>
      <c r="O91" t="s">
        <v>31</v>
      </c>
      <c r="P91" t="s">
        <v>162</v>
      </c>
      <c r="Q91">
        <v>4</v>
      </c>
      <c r="R91">
        <v>10</v>
      </c>
    </row>
    <row r="92" spans="1:19" x14ac:dyDescent="0.25">
      <c r="A92" t="s">
        <v>17</v>
      </c>
      <c r="B92" s="1">
        <v>46045</v>
      </c>
      <c r="C92" t="s">
        <v>18</v>
      </c>
      <c r="D92">
        <v>1000</v>
      </c>
      <c r="E92" t="s">
        <v>19</v>
      </c>
      <c r="F92" t="s">
        <v>46</v>
      </c>
      <c r="G92" t="s">
        <v>179</v>
      </c>
      <c r="H92" t="s">
        <v>52</v>
      </c>
      <c r="I92" s="3" t="str">
        <f>VLOOKUP(Tabla1[[#This Row],[Articulo]],Tabla2[[Descripcion]:[Moneda]],3,FALSE)</f>
        <v>U$D</v>
      </c>
      <c r="J92" s="2">
        <f>VLOOKUP(Tabla1[[#This Row],[Articulo]],Tabla2[],4,FALSE)</f>
        <v>2.1156999999999999</v>
      </c>
      <c r="K92" s="2">
        <f t="shared" si="2"/>
        <v>2.1156999999999999</v>
      </c>
      <c r="L92" s="2">
        <f>Tabla1[[#This Row],[Importe]]*Tabla1[[#This Row],[Cantidad]]</f>
        <v>2115.6999999999998</v>
      </c>
      <c r="M92" s="1">
        <v>46157</v>
      </c>
      <c r="N92" t="str">
        <f>TEXT(Tabla1[[#This Row],[Fecha Entrega]],"mmmm")</f>
        <v>mayo</v>
      </c>
      <c r="O92" t="s">
        <v>31</v>
      </c>
    </row>
    <row r="93" spans="1:19" x14ac:dyDescent="0.25">
      <c r="A93" t="s">
        <v>17</v>
      </c>
      <c r="B93" s="1">
        <v>46041</v>
      </c>
      <c r="C93" t="s">
        <v>18</v>
      </c>
      <c r="D93">
        <v>17000</v>
      </c>
      <c r="E93" t="s">
        <v>19</v>
      </c>
      <c r="F93" t="s">
        <v>28</v>
      </c>
      <c r="G93" t="s">
        <v>29</v>
      </c>
      <c r="H93" t="s">
        <v>83</v>
      </c>
      <c r="I93" s="3" t="str">
        <f>VLOOKUP(Tabla1[[#This Row],[Articulo]],Tabla2[[Descripcion]:[Moneda]],3,FALSE)</f>
        <v>U$D</v>
      </c>
      <c r="J93" s="2">
        <f>VLOOKUP(Tabla1[[#This Row],[Articulo]],Tabla2[],4,FALSE)</f>
        <v>1.2</v>
      </c>
      <c r="K93" s="2">
        <f t="shared" si="2"/>
        <v>1.2</v>
      </c>
      <c r="L93" s="2">
        <f>Tabla1[[#This Row],[Importe]]*Tabla1[[#This Row],[Cantidad]]</f>
        <v>20400</v>
      </c>
      <c r="M93" s="1">
        <v>46037</v>
      </c>
      <c r="N93" t="str">
        <f>TEXT(Tabla1[[#This Row],[Fecha Entrega]],"mmmm")</f>
        <v>enero</v>
      </c>
      <c r="O93" t="s">
        <v>31</v>
      </c>
      <c r="Q93">
        <v>4</v>
      </c>
      <c r="R93">
        <v>3</v>
      </c>
      <c r="S93" t="s">
        <v>32</v>
      </c>
    </row>
    <row r="94" spans="1:19" x14ac:dyDescent="0.25">
      <c r="A94" t="s">
        <v>17</v>
      </c>
      <c r="B94" s="1">
        <v>46041</v>
      </c>
      <c r="C94" t="s">
        <v>18</v>
      </c>
      <c r="D94">
        <v>20000</v>
      </c>
      <c r="E94" t="s">
        <v>19</v>
      </c>
      <c r="F94" t="s">
        <v>28</v>
      </c>
      <c r="G94" t="s">
        <v>37</v>
      </c>
      <c r="H94" t="s">
        <v>83</v>
      </c>
      <c r="I94" s="3" t="str">
        <f>VLOOKUP(Tabla1[[#This Row],[Articulo]],Tabla2[[Descripcion]:[Moneda]],3,FALSE)</f>
        <v>U$D</v>
      </c>
      <c r="J94" s="2">
        <f>VLOOKUP(Tabla1[[#This Row],[Articulo]],Tabla2[],4,FALSE)</f>
        <v>1.2</v>
      </c>
      <c r="K94" s="2">
        <f t="shared" si="2"/>
        <v>1.2</v>
      </c>
      <c r="L94" s="2">
        <f>Tabla1[[#This Row],[Importe]]*Tabla1[[#This Row],[Cantidad]]</f>
        <v>24000</v>
      </c>
      <c r="M94" s="1">
        <v>46023</v>
      </c>
      <c r="N94" t="str">
        <f>TEXT(Tabla1[[#This Row],[Fecha Entrega]],"mmmm")</f>
        <v>enero</v>
      </c>
      <c r="O94" t="s">
        <v>31</v>
      </c>
      <c r="Q94">
        <v>4</v>
      </c>
      <c r="R94">
        <v>1</v>
      </c>
      <c r="S94" t="s">
        <v>38</v>
      </c>
    </row>
    <row r="95" spans="1:19" x14ac:dyDescent="0.25">
      <c r="A95" t="s">
        <v>17</v>
      </c>
      <c r="B95" s="1">
        <v>46042</v>
      </c>
      <c r="C95" t="s">
        <v>18</v>
      </c>
      <c r="D95">
        <v>28800</v>
      </c>
      <c r="E95" t="s">
        <v>19</v>
      </c>
      <c r="F95" t="s">
        <v>28</v>
      </c>
      <c r="G95" t="s">
        <v>37</v>
      </c>
      <c r="H95" t="s">
        <v>83</v>
      </c>
      <c r="I95" s="3" t="str">
        <f>VLOOKUP(Tabla1[[#This Row],[Articulo]],Tabla2[[Descripcion]:[Moneda]],3,FALSE)</f>
        <v>U$D</v>
      </c>
      <c r="J95" s="2">
        <f>VLOOKUP(Tabla1[[#This Row],[Articulo]],Tabla2[],4,FALSE)</f>
        <v>1.2</v>
      </c>
      <c r="K95" s="2">
        <f t="shared" si="2"/>
        <v>1.2</v>
      </c>
      <c r="L95" s="2">
        <f>Tabla1[[#This Row],[Importe]]*Tabla1[[#This Row],[Cantidad]]</f>
        <v>34560</v>
      </c>
      <c r="M95" s="1">
        <v>46109</v>
      </c>
      <c r="N95" t="str">
        <f>TEXT(Tabla1[[#This Row],[Fecha Entrega]],"mmmm")</f>
        <v>marzo</v>
      </c>
      <c r="O95" t="s">
        <v>31</v>
      </c>
      <c r="P95" t="s">
        <v>140</v>
      </c>
      <c r="Q95">
        <v>4</v>
      </c>
      <c r="R95">
        <v>9</v>
      </c>
    </row>
    <row r="96" spans="1:19" x14ac:dyDescent="0.25">
      <c r="A96" t="s">
        <v>17</v>
      </c>
      <c r="B96" s="1">
        <v>46042</v>
      </c>
      <c r="C96" t="s">
        <v>18</v>
      </c>
      <c r="D96">
        <v>26500</v>
      </c>
      <c r="E96" t="s">
        <v>19</v>
      </c>
      <c r="F96" t="s">
        <v>28</v>
      </c>
      <c r="G96" t="s">
        <v>37</v>
      </c>
      <c r="H96" t="s">
        <v>83</v>
      </c>
      <c r="I96" s="3" t="str">
        <f>VLOOKUP(Tabla1[[#This Row],[Articulo]],Tabla2[[Descripcion]:[Moneda]],3,FALSE)</f>
        <v>U$D</v>
      </c>
      <c r="J96" s="2">
        <f>VLOOKUP(Tabla1[[#This Row],[Articulo]],Tabla2[],4,FALSE)</f>
        <v>1.2</v>
      </c>
      <c r="K96" s="2">
        <f t="shared" si="2"/>
        <v>1.2</v>
      </c>
      <c r="L96" s="2">
        <f>Tabla1[[#This Row],[Importe]]*Tabla1[[#This Row],[Cantidad]]</f>
        <v>31800</v>
      </c>
      <c r="M96" s="1">
        <v>46116</v>
      </c>
      <c r="N96" t="str">
        <f>TEXT(Tabla1[[#This Row],[Fecha Entrega]],"mmmm")</f>
        <v>abril</v>
      </c>
      <c r="O96" t="s">
        <v>31</v>
      </c>
      <c r="P96" t="s">
        <v>141</v>
      </c>
      <c r="Q96">
        <v>4</v>
      </c>
      <c r="R96">
        <v>12</v>
      </c>
    </row>
    <row r="97" spans="1:18" x14ac:dyDescent="0.25">
      <c r="A97" t="s">
        <v>17</v>
      </c>
      <c r="B97" s="1">
        <v>46127</v>
      </c>
      <c r="C97" t="s">
        <v>18</v>
      </c>
      <c r="D97">
        <v>10500</v>
      </c>
      <c r="E97" t="s">
        <v>19</v>
      </c>
      <c r="F97" t="s">
        <v>28</v>
      </c>
      <c r="G97" t="s">
        <v>37</v>
      </c>
      <c r="H97" t="s">
        <v>83</v>
      </c>
      <c r="I97" s="3" t="str">
        <f>VLOOKUP(Tabla1[[#This Row],[Articulo]],Tabla2[[Descripcion]:[Moneda]],3,FALSE)</f>
        <v>U$D</v>
      </c>
      <c r="J97" s="2">
        <f>VLOOKUP(Tabla1[[#This Row],[Articulo]],Tabla2[],4,FALSE)</f>
        <v>1.2</v>
      </c>
      <c r="K97" s="2">
        <f t="shared" si="2"/>
        <v>1.2</v>
      </c>
      <c r="L97" s="2">
        <f>Tabla1[[#This Row],[Importe]]*Tabla1[[#This Row],[Cantidad]]</f>
        <v>12600</v>
      </c>
      <c r="M97" s="1">
        <v>46128</v>
      </c>
      <c r="N97" t="str">
        <f>TEXT(Tabla1[[#This Row],[Fecha Entrega]],"mmmm")</f>
        <v>abril</v>
      </c>
      <c r="O97" t="s">
        <v>31</v>
      </c>
      <c r="P97" t="s">
        <v>149</v>
      </c>
    </row>
    <row r="98" spans="1:18" x14ac:dyDescent="0.25">
      <c r="A98" t="s">
        <v>17</v>
      </c>
      <c r="B98" s="1">
        <v>46135</v>
      </c>
      <c r="C98" t="s">
        <v>18</v>
      </c>
      <c r="D98">
        <v>5000</v>
      </c>
      <c r="E98" t="s">
        <v>19</v>
      </c>
      <c r="F98" t="s">
        <v>28</v>
      </c>
      <c r="G98" t="s">
        <v>29</v>
      </c>
      <c r="H98" t="s">
        <v>83</v>
      </c>
      <c r="I98" s="3" t="str">
        <f>VLOOKUP(Tabla1[[#This Row],[Articulo]],Tabla2[[Descripcion]:[Moneda]],3,FALSE)</f>
        <v>U$D</v>
      </c>
      <c r="J98" s="2">
        <f>VLOOKUP(Tabla1[[#This Row],[Articulo]],Tabla2[],4,FALSE)</f>
        <v>1.2</v>
      </c>
      <c r="K98" s="2">
        <f t="shared" si="2"/>
        <v>1.2</v>
      </c>
      <c r="L98" s="2">
        <f>Tabla1[[#This Row],[Importe]]*Tabla1[[#This Row],[Cantidad]]</f>
        <v>6000</v>
      </c>
      <c r="M98" s="1">
        <v>46135</v>
      </c>
      <c r="N98" t="str">
        <f>TEXT(Tabla1[[#This Row],[Fecha Entrega]],"mmmm")</f>
        <v>abril</v>
      </c>
      <c r="O98" t="s">
        <v>31</v>
      </c>
      <c r="P98" t="s">
        <v>155</v>
      </c>
    </row>
    <row r="99" spans="1:18" x14ac:dyDescent="0.25">
      <c r="A99" t="s">
        <v>17</v>
      </c>
      <c r="B99" s="1">
        <v>46148</v>
      </c>
      <c r="C99" t="s">
        <v>18</v>
      </c>
      <c r="D99">
        <v>1200</v>
      </c>
      <c r="E99" t="s">
        <v>19</v>
      </c>
      <c r="F99" t="s">
        <v>28</v>
      </c>
      <c r="G99" t="s">
        <v>37</v>
      </c>
      <c r="H99" t="s">
        <v>83</v>
      </c>
      <c r="I99" s="3" t="str">
        <f>VLOOKUP(Tabla1[[#This Row],[Articulo]],Tabla2[[Descripcion]:[Moneda]],3,FALSE)</f>
        <v>U$D</v>
      </c>
      <c r="J99" s="2">
        <f>VLOOKUP(Tabla1[[#This Row],[Articulo]],Tabla2[],4,FALSE)</f>
        <v>1.2</v>
      </c>
      <c r="K99" s="2">
        <f t="shared" si="2"/>
        <v>1.2</v>
      </c>
      <c r="L99" s="2">
        <f>Tabla1[[#This Row],[Importe]]*Tabla1[[#This Row],[Cantidad]]</f>
        <v>1440</v>
      </c>
      <c r="M99" s="1">
        <v>46148</v>
      </c>
      <c r="N99" t="str">
        <f>TEXT(Tabla1[[#This Row],[Fecha Entrega]],"mmmm")</f>
        <v>mayo</v>
      </c>
      <c r="O99" t="s">
        <v>31</v>
      </c>
      <c r="P99" t="s">
        <v>163</v>
      </c>
    </row>
    <row r="100" spans="1:18" x14ac:dyDescent="0.25">
      <c r="A100" t="s">
        <v>17</v>
      </c>
      <c r="B100" s="1">
        <v>46148</v>
      </c>
      <c r="C100" t="s">
        <v>18</v>
      </c>
      <c r="D100">
        <v>1200</v>
      </c>
      <c r="E100" t="s">
        <v>19</v>
      </c>
      <c r="F100" t="s">
        <v>28</v>
      </c>
      <c r="G100" t="s">
        <v>37</v>
      </c>
      <c r="H100" t="s">
        <v>83</v>
      </c>
      <c r="I100" s="3" t="str">
        <f>VLOOKUP(Tabla1[[#This Row],[Articulo]],Tabla2[[Descripcion]:[Moneda]],3,FALSE)</f>
        <v>U$D</v>
      </c>
      <c r="J100" s="2">
        <f>VLOOKUP(Tabla1[[#This Row],[Articulo]],Tabla2[],4,FALSE)</f>
        <v>1.2</v>
      </c>
      <c r="K100" s="2">
        <f t="shared" si="2"/>
        <v>1.2</v>
      </c>
      <c r="L100" s="2">
        <f>Tabla1[[#This Row],[Importe]]*Tabla1[[#This Row],[Cantidad]]</f>
        <v>1440</v>
      </c>
      <c r="M100" s="1">
        <v>46148</v>
      </c>
      <c r="N100" t="str">
        <f>TEXT(Tabla1[[#This Row],[Fecha Entrega]],"mmmm")</f>
        <v>mayo</v>
      </c>
      <c r="O100" t="s">
        <v>31</v>
      </c>
      <c r="P100" t="s">
        <v>164</v>
      </c>
    </row>
    <row r="101" spans="1:18" x14ac:dyDescent="0.25">
      <c r="A101" t="s">
        <v>17</v>
      </c>
      <c r="B101" s="1">
        <v>46042</v>
      </c>
      <c r="C101" t="s">
        <v>18</v>
      </c>
      <c r="D101">
        <v>75</v>
      </c>
      <c r="E101" t="s">
        <v>19</v>
      </c>
      <c r="F101" t="s">
        <v>41</v>
      </c>
      <c r="G101" t="s">
        <v>21</v>
      </c>
      <c r="H101" t="s">
        <v>52</v>
      </c>
      <c r="I101" s="3" t="str">
        <f>VLOOKUP(Tabla1[[#This Row],[Articulo]],Tabla2[[Descripcion]:[Moneda]],3,FALSE)</f>
        <v>U$D</v>
      </c>
      <c r="J101" s="2">
        <f>VLOOKUP(Tabla1[[#This Row],[Articulo]],Tabla2[],4,FALSE)</f>
        <v>4.5</v>
      </c>
      <c r="K101" s="2">
        <f t="shared" si="2"/>
        <v>4.5</v>
      </c>
      <c r="L101" s="2">
        <f>Tabla1[[#This Row],[Importe]]*Tabla1[[#This Row],[Cantidad]]</f>
        <v>337.5</v>
      </c>
      <c r="M101" s="1">
        <v>46106</v>
      </c>
      <c r="N101" t="str">
        <f>TEXT(Tabla1[[#This Row],[Fecha Entrega]],"mmmm")</f>
        <v>marzo</v>
      </c>
      <c r="O101" t="s">
        <v>31</v>
      </c>
      <c r="Q101">
        <v>4</v>
      </c>
      <c r="R101">
        <v>7</v>
      </c>
    </row>
    <row r="102" spans="1:18" x14ac:dyDescent="0.25">
      <c r="A102" t="s">
        <v>17</v>
      </c>
      <c r="B102" s="1">
        <v>46042</v>
      </c>
      <c r="C102" t="s">
        <v>18</v>
      </c>
      <c r="D102">
        <v>400</v>
      </c>
      <c r="E102" t="s">
        <v>19</v>
      </c>
      <c r="F102" t="s">
        <v>41</v>
      </c>
      <c r="G102" t="s">
        <v>37</v>
      </c>
      <c r="H102" t="s">
        <v>52</v>
      </c>
      <c r="I102" s="3" t="str">
        <f>VLOOKUP(Tabla1[[#This Row],[Articulo]],Tabla2[[Descripcion]:[Moneda]],3,FALSE)</f>
        <v>U$D</v>
      </c>
      <c r="J102" s="2">
        <f>VLOOKUP(Tabla1[[#This Row],[Articulo]],Tabla2[],4,FALSE)</f>
        <v>4.5</v>
      </c>
      <c r="K102" s="2">
        <f t="shared" si="2"/>
        <v>4.5</v>
      </c>
      <c r="L102" s="2">
        <f>Tabla1[[#This Row],[Importe]]*Tabla1[[#This Row],[Cantidad]]</f>
        <v>1800</v>
      </c>
      <c r="M102" s="1">
        <v>46111</v>
      </c>
      <c r="N102" t="str">
        <f>TEXT(Tabla1[[#This Row],[Fecha Entrega]],"mmmm")</f>
        <v>marzo</v>
      </c>
      <c r="O102" t="s">
        <v>31</v>
      </c>
      <c r="P102" t="s">
        <v>133</v>
      </c>
    </row>
    <row r="103" spans="1:18" x14ac:dyDescent="0.25">
      <c r="A103" t="s">
        <v>17</v>
      </c>
      <c r="B103" s="1">
        <v>46042</v>
      </c>
      <c r="C103" t="s">
        <v>18</v>
      </c>
      <c r="D103">
        <v>250</v>
      </c>
      <c r="E103" t="s">
        <v>19</v>
      </c>
      <c r="F103" t="s">
        <v>41</v>
      </c>
      <c r="G103" t="s">
        <v>89</v>
      </c>
      <c r="H103" t="s">
        <v>52</v>
      </c>
      <c r="I103" s="3" t="str">
        <f>VLOOKUP(Tabla1[[#This Row],[Articulo]],Tabla2[[Descripcion]:[Moneda]],3,FALSE)</f>
        <v>U$D</v>
      </c>
      <c r="J103" s="2">
        <f>VLOOKUP(Tabla1[[#This Row],[Articulo]],Tabla2[],4,FALSE)</f>
        <v>4.5</v>
      </c>
      <c r="K103" s="2">
        <f t="shared" si="2"/>
        <v>4.5</v>
      </c>
      <c r="L103" s="2">
        <f>Tabla1[[#This Row],[Importe]]*Tabla1[[#This Row],[Cantidad]]</f>
        <v>1125</v>
      </c>
      <c r="M103" s="1">
        <v>46171</v>
      </c>
      <c r="N103" t="str">
        <f>TEXT(Tabla1[[#This Row],[Fecha Entrega]],"mmmm")</f>
        <v>mayo</v>
      </c>
      <c r="O103" t="s">
        <v>31</v>
      </c>
      <c r="P103" t="s">
        <v>171</v>
      </c>
    </row>
    <row r="104" spans="1:18" x14ac:dyDescent="0.25">
      <c r="A104" t="s">
        <v>17</v>
      </c>
      <c r="B104" s="1">
        <v>46042</v>
      </c>
      <c r="C104" t="s">
        <v>18</v>
      </c>
      <c r="D104">
        <v>400</v>
      </c>
      <c r="E104" t="s">
        <v>19</v>
      </c>
      <c r="F104" t="s">
        <v>41</v>
      </c>
      <c r="G104" t="s">
        <v>37</v>
      </c>
      <c r="H104" t="s">
        <v>52</v>
      </c>
      <c r="I104" s="3" t="str">
        <f>VLOOKUP(Tabla1[[#This Row],[Articulo]],Tabla2[[Descripcion]:[Moneda]],3,FALSE)</f>
        <v>U$D</v>
      </c>
      <c r="J104" s="2">
        <f>VLOOKUP(Tabla1[[#This Row],[Articulo]],Tabla2[],4,FALSE)</f>
        <v>4.5</v>
      </c>
      <c r="K104" s="2">
        <f t="shared" si="2"/>
        <v>4.5</v>
      </c>
      <c r="L104" s="2">
        <f>Tabla1[[#This Row],[Importe]]*Tabla1[[#This Row],[Cantidad]]</f>
        <v>1800</v>
      </c>
      <c r="M104" s="1">
        <v>46128</v>
      </c>
      <c r="N104" t="str">
        <f>TEXT(Tabla1[[#This Row],[Fecha Entrega]],"mmmm")</f>
        <v>abril</v>
      </c>
      <c r="O104" t="s">
        <v>31</v>
      </c>
      <c r="P104" t="s">
        <v>149</v>
      </c>
    </row>
    <row r="105" spans="1:18" x14ac:dyDescent="0.25">
      <c r="A105" t="s">
        <v>17</v>
      </c>
      <c r="B105" s="1">
        <v>46042</v>
      </c>
      <c r="C105" t="s">
        <v>18</v>
      </c>
      <c r="D105">
        <v>400</v>
      </c>
      <c r="E105" t="s">
        <v>19</v>
      </c>
      <c r="F105" t="s">
        <v>41</v>
      </c>
      <c r="G105" t="s">
        <v>37</v>
      </c>
      <c r="H105" t="s">
        <v>52</v>
      </c>
      <c r="I105" s="3" t="str">
        <f>VLOOKUP(Tabla1[[#This Row],[Articulo]],Tabla2[[Descripcion]:[Moneda]],3,FALSE)</f>
        <v>U$D</v>
      </c>
      <c r="J105" s="2">
        <f>VLOOKUP(Tabla1[[#This Row],[Articulo]],Tabla2[],4,FALSE)</f>
        <v>4.5</v>
      </c>
      <c r="K105" s="2">
        <f t="shared" si="2"/>
        <v>4.5</v>
      </c>
      <c r="L105" s="2">
        <f>Tabla1[[#This Row],[Importe]]*Tabla1[[#This Row],[Cantidad]]</f>
        <v>1800</v>
      </c>
      <c r="M105" s="1">
        <v>46148</v>
      </c>
      <c r="N105" t="str">
        <f>TEXT(Tabla1[[#This Row],[Fecha Entrega]],"mmmm")</f>
        <v>mayo</v>
      </c>
      <c r="O105" t="s">
        <v>31</v>
      </c>
      <c r="P105" t="s">
        <v>163</v>
      </c>
    </row>
    <row r="106" spans="1:18" x14ac:dyDescent="0.25">
      <c r="A106" t="s">
        <v>17</v>
      </c>
      <c r="B106" s="1">
        <v>46044</v>
      </c>
      <c r="C106" t="s">
        <v>18</v>
      </c>
      <c r="D106">
        <v>335</v>
      </c>
      <c r="E106" t="s">
        <v>19</v>
      </c>
      <c r="F106" t="s">
        <v>49</v>
      </c>
      <c r="G106" t="s">
        <v>179</v>
      </c>
      <c r="H106" t="s">
        <v>52</v>
      </c>
      <c r="I106" s="3" t="str">
        <f>VLOOKUP(Tabla1[[#This Row],[Articulo]],Tabla2[[Descripcion]:[Moneda]],3,FALSE)</f>
        <v>U$D</v>
      </c>
      <c r="J106" s="2">
        <f>VLOOKUP(Tabla1[[#This Row],[Articulo]],Tabla2[],4,FALSE)</f>
        <v>3.15</v>
      </c>
      <c r="K106" s="2">
        <f t="shared" si="2"/>
        <v>3.15</v>
      </c>
      <c r="L106" s="2">
        <f>Tabla1[[#This Row],[Importe]]*Tabla1[[#This Row],[Cantidad]]</f>
        <v>1055.25</v>
      </c>
      <c r="M106" s="1">
        <v>46157</v>
      </c>
      <c r="N106" t="str">
        <f>TEXT(Tabla1[[#This Row],[Fecha Entrega]],"mmmm")</f>
        <v>mayo</v>
      </c>
      <c r="O106" t="s">
        <v>31</v>
      </c>
      <c r="P106" t="s">
        <v>180</v>
      </c>
      <c r="Q106">
        <v>4</v>
      </c>
      <c r="R106">
        <v>7</v>
      </c>
    </row>
    <row r="107" spans="1:18" x14ac:dyDescent="0.25">
      <c r="A107" t="s">
        <v>17</v>
      </c>
      <c r="B107" s="1">
        <v>46044</v>
      </c>
      <c r="C107" t="s">
        <v>18</v>
      </c>
      <c r="D107">
        <v>335</v>
      </c>
      <c r="E107" t="s">
        <v>19</v>
      </c>
      <c r="F107" t="s">
        <v>49</v>
      </c>
      <c r="G107" t="s">
        <v>179</v>
      </c>
      <c r="H107" t="s">
        <v>52</v>
      </c>
      <c r="I107" s="3" t="str">
        <f>VLOOKUP(Tabla1[[#This Row],[Articulo]],Tabla2[[Descripcion]:[Moneda]],3,FALSE)</f>
        <v>U$D</v>
      </c>
      <c r="J107" s="2">
        <f>VLOOKUP(Tabla1[[#This Row],[Articulo]],Tabla2[],4,FALSE)</f>
        <v>3.15</v>
      </c>
      <c r="K107" s="2">
        <f t="shared" ref="K107:K113" si="3">IF(I107="$", J107/$H$1, IF(I107="U$D", J107*1, 0))</f>
        <v>3.15</v>
      </c>
      <c r="L107" s="2">
        <f>Tabla1[[#This Row],[Importe]]*Tabla1[[#This Row],[Cantidad]]</f>
        <v>1055.25</v>
      </c>
      <c r="M107" s="1">
        <v>46188</v>
      </c>
      <c r="N107" t="str">
        <f>TEXT(Tabla1[[#This Row],[Fecha Entrega]],"mmmm")</f>
        <v>junio</v>
      </c>
      <c r="O107" t="s">
        <v>31</v>
      </c>
      <c r="P107" t="s">
        <v>180</v>
      </c>
      <c r="Q107">
        <v>4</v>
      </c>
      <c r="R107">
        <v>10</v>
      </c>
    </row>
    <row r="108" spans="1:18" x14ac:dyDescent="0.25">
      <c r="A108" t="s">
        <v>17</v>
      </c>
      <c r="B108" s="1">
        <v>46044</v>
      </c>
      <c r="C108" t="s">
        <v>18</v>
      </c>
      <c r="D108">
        <v>30</v>
      </c>
      <c r="E108" t="s">
        <v>19</v>
      </c>
      <c r="F108" t="s">
        <v>49</v>
      </c>
      <c r="G108" t="s">
        <v>179</v>
      </c>
      <c r="H108" t="s">
        <v>52</v>
      </c>
      <c r="I108" s="3" t="str">
        <f>VLOOKUP(Tabla1[[#This Row],[Articulo]],Tabla2[[Descripcion]:[Moneda]],3,FALSE)</f>
        <v>U$D</v>
      </c>
      <c r="J108" s="2">
        <f>VLOOKUP(Tabla1[[#This Row],[Articulo]],Tabla2[],4,FALSE)</f>
        <v>3.15</v>
      </c>
      <c r="K108" s="2">
        <f t="shared" si="3"/>
        <v>3.15</v>
      </c>
      <c r="L108" s="2">
        <f>Tabla1[[#This Row],[Importe]]*Tabla1[[#This Row],[Cantidad]]</f>
        <v>94.5</v>
      </c>
      <c r="M108" s="1">
        <v>46218</v>
      </c>
      <c r="N108" t="str">
        <f>TEXT(Tabla1[[#This Row],[Fecha Entrega]],"mmmm")</f>
        <v>julio</v>
      </c>
      <c r="O108" t="s">
        <v>31</v>
      </c>
      <c r="P108" t="s">
        <v>180</v>
      </c>
      <c r="Q108">
        <v>4</v>
      </c>
      <c r="R108">
        <v>14</v>
      </c>
    </row>
    <row r="109" spans="1:18" x14ac:dyDescent="0.25">
      <c r="A109" t="s">
        <v>17</v>
      </c>
      <c r="B109" s="1">
        <v>46044</v>
      </c>
      <c r="C109" t="s">
        <v>18</v>
      </c>
      <c r="D109">
        <v>1000</v>
      </c>
      <c r="E109" t="s">
        <v>19</v>
      </c>
      <c r="F109" t="s">
        <v>46</v>
      </c>
      <c r="G109" t="s">
        <v>179</v>
      </c>
      <c r="H109" t="s">
        <v>52</v>
      </c>
      <c r="I109" s="3" t="str">
        <f>VLOOKUP(Tabla1[[#This Row],[Articulo]],Tabla2[[Descripcion]:[Moneda]],3,FALSE)</f>
        <v>U$D</v>
      </c>
      <c r="J109" s="2">
        <f>VLOOKUP(Tabla1[[#This Row],[Articulo]],Tabla2[],4,FALSE)</f>
        <v>2.1156999999999999</v>
      </c>
      <c r="K109" s="2">
        <f t="shared" si="3"/>
        <v>2.1156999999999999</v>
      </c>
      <c r="L109" s="2">
        <f>Tabla1[[#This Row],[Importe]]*Tabla1[[#This Row],[Cantidad]]</f>
        <v>2115.6999999999998</v>
      </c>
      <c r="M109" s="1">
        <v>46185</v>
      </c>
      <c r="N109" t="str">
        <f>TEXT(Tabla1[[#This Row],[Fecha Entrega]],"mmmm")</f>
        <v>junio</v>
      </c>
      <c r="O109" t="s">
        <v>31</v>
      </c>
      <c r="P109" t="s">
        <v>180</v>
      </c>
      <c r="Q109">
        <v>4</v>
      </c>
      <c r="R109">
        <v>14</v>
      </c>
    </row>
    <row r="110" spans="1:18" x14ac:dyDescent="0.25">
      <c r="A110" t="s">
        <v>17</v>
      </c>
      <c r="B110" s="1">
        <v>46128</v>
      </c>
      <c r="C110" t="s">
        <v>18</v>
      </c>
      <c r="D110">
        <v>600</v>
      </c>
      <c r="E110" t="s">
        <v>19</v>
      </c>
      <c r="F110" t="s">
        <v>26</v>
      </c>
      <c r="G110" t="s">
        <v>90</v>
      </c>
      <c r="H110" t="s">
        <v>83</v>
      </c>
      <c r="I110" s="3" t="str">
        <f>VLOOKUP(Tabla1[[#This Row],[Articulo]],Tabla2[[Descripcion]:[Moneda]],3,FALSE)</f>
        <v>U$D</v>
      </c>
      <c r="J110" s="2">
        <f>VLOOKUP(Tabla1[[#This Row],[Articulo]],Tabla2[],4,FALSE)</f>
        <v>0.34</v>
      </c>
      <c r="K110" s="2">
        <f t="shared" si="3"/>
        <v>0.34</v>
      </c>
      <c r="L110" s="2">
        <f>Tabla1[[#This Row],[Importe]]*Tabla1[[#This Row],[Cantidad]]</f>
        <v>204.00000000000003</v>
      </c>
      <c r="M110" s="1">
        <v>46167</v>
      </c>
      <c r="N110" t="str">
        <f>TEXT(Tabla1[[#This Row],[Fecha Entrega]],"mmmm")</f>
        <v>mayo</v>
      </c>
      <c r="O110" t="s">
        <v>31</v>
      </c>
      <c r="P110" t="s">
        <v>183</v>
      </c>
    </row>
    <row r="111" spans="1:18" x14ac:dyDescent="0.25">
      <c r="A111" t="s">
        <v>17</v>
      </c>
      <c r="B111" s="1">
        <v>46044</v>
      </c>
      <c r="C111" t="s">
        <v>18</v>
      </c>
      <c r="D111">
        <v>1000</v>
      </c>
      <c r="E111" t="s">
        <v>19</v>
      </c>
      <c r="F111" t="s">
        <v>44</v>
      </c>
      <c r="G111" t="s">
        <v>90</v>
      </c>
      <c r="H111" t="s">
        <v>52</v>
      </c>
      <c r="I111" s="3" t="str">
        <f>VLOOKUP(Tabla1[[#This Row],[Articulo]],Tabla2[[Descripcion]:[Moneda]],3,FALSE)</f>
        <v>U$D</v>
      </c>
      <c r="J111" s="2">
        <f>VLOOKUP(Tabla1[[#This Row],[Articulo]],Tabla2[],4,FALSE)</f>
        <v>0.85</v>
      </c>
      <c r="K111" s="2">
        <f t="shared" si="3"/>
        <v>0.85</v>
      </c>
      <c r="L111" s="2">
        <f>Tabla1[[#This Row],[Importe]]*Tabla1[[#This Row],[Cantidad]]</f>
        <v>850</v>
      </c>
      <c r="M111" s="1">
        <v>46290</v>
      </c>
      <c r="N111" t="str">
        <f>TEXT(Tabla1[[#This Row],[Fecha Entrega]],"mmmm")</f>
        <v>septiembre</v>
      </c>
      <c r="O111" t="s">
        <v>31</v>
      </c>
      <c r="P111" t="s">
        <v>188</v>
      </c>
      <c r="Q111">
        <v>4</v>
      </c>
      <c r="R111">
        <v>18</v>
      </c>
    </row>
    <row r="112" spans="1:18" x14ac:dyDescent="0.25">
      <c r="A112" t="s">
        <v>17</v>
      </c>
      <c r="B112" s="1">
        <v>46045</v>
      </c>
      <c r="C112" t="s">
        <v>18</v>
      </c>
      <c r="D112">
        <v>2000</v>
      </c>
      <c r="E112" t="s">
        <v>19</v>
      </c>
      <c r="F112" t="s">
        <v>44</v>
      </c>
      <c r="G112" t="s">
        <v>90</v>
      </c>
      <c r="H112" t="s">
        <v>52</v>
      </c>
      <c r="I112" s="3" t="str">
        <f>VLOOKUP(Tabla1[[#This Row],[Articulo]],Tabla2[[Descripcion]:[Moneda]],3,FALSE)</f>
        <v>U$D</v>
      </c>
      <c r="J112" s="2">
        <f>VLOOKUP(Tabla1[[#This Row],[Articulo]],Tabla2[],4,FALSE)</f>
        <v>0.85</v>
      </c>
      <c r="K112" s="2">
        <f>IF(I112="$", J112/$H$1, IF(I112="U$D", J112*1, 0))</f>
        <v>0.85</v>
      </c>
      <c r="L112" s="2">
        <f>Tabla1[[#This Row],[Importe]]*Tabla1[[#This Row],[Cantidad]]</f>
        <v>1700</v>
      </c>
      <c r="M112" s="1">
        <v>46295</v>
      </c>
      <c r="N112" t="str">
        <f>TEXT(Tabla1[[#This Row],[Fecha Entrega]],"mmmm")</f>
        <v>septiembre</v>
      </c>
      <c r="O112" t="s">
        <v>31</v>
      </c>
      <c r="P112" t="s">
        <v>190</v>
      </c>
    </row>
    <row r="113" spans="1:16" x14ac:dyDescent="0.25">
      <c r="A113" t="s">
        <v>17</v>
      </c>
      <c r="B113" s="1">
        <v>46044</v>
      </c>
      <c r="C113" t="s">
        <v>18</v>
      </c>
      <c r="D113">
        <v>1000</v>
      </c>
      <c r="E113" t="s">
        <v>19</v>
      </c>
      <c r="F113" t="s">
        <v>46</v>
      </c>
      <c r="G113" t="s">
        <v>179</v>
      </c>
      <c r="H113" t="s">
        <v>52</v>
      </c>
      <c r="I113" s="3" t="str">
        <f>VLOOKUP(Tabla1[[#This Row],[Articulo]],Tabla2[[Descripcion]:[Moneda]],3,FALSE)</f>
        <v>U$D</v>
      </c>
      <c r="J113" s="2">
        <f>VLOOKUP(Tabla1[[#This Row],[Articulo]],Tabla2[],4,FALSE)</f>
        <v>2.1156999999999999</v>
      </c>
      <c r="K113" s="2">
        <f t="shared" si="3"/>
        <v>2.1156999999999999</v>
      </c>
      <c r="L113" s="2">
        <f>Tabla1[[#This Row],[Importe]]*Tabla1[[#This Row],[Cantidad]]</f>
        <v>2115.6999999999998</v>
      </c>
      <c r="M113" s="1">
        <v>46295</v>
      </c>
      <c r="N113" t="str">
        <f>TEXT(Tabla1[[#This Row],[Fecha Entrega]],"mmmm")</f>
        <v>septiembre</v>
      </c>
      <c r="O113" t="s">
        <v>24</v>
      </c>
    </row>
    <row r="114" spans="1:16" x14ac:dyDescent="0.25">
      <c r="A114" t="s">
        <v>17</v>
      </c>
      <c r="B114" s="1">
        <v>46253</v>
      </c>
      <c r="C114" t="s">
        <v>18</v>
      </c>
      <c r="D114">
        <v>30.76</v>
      </c>
      <c r="E114" t="s">
        <v>123</v>
      </c>
      <c r="F114" t="s">
        <v>181</v>
      </c>
      <c r="G114" t="s">
        <v>40</v>
      </c>
      <c r="H114" t="s">
        <v>83</v>
      </c>
      <c r="I114" s="3" t="str">
        <f>VLOOKUP(Tabla1[[#This Row],[Articulo]],Tabla2[[Descripcion]:[Moneda]],3,FALSE)</f>
        <v>$</v>
      </c>
      <c r="J114" s="2">
        <f>VLOOKUP(Tabla1[[#This Row],[Articulo]],Tabla2[],4,FALSE)</f>
        <v>101000</v>
      </c>
      <c r="K114" s="2">
        <f>IF(I114="$", J114/$H$1, IF(I114="U$D", J114*1, 0))</f>
        <v>65.161290322580641</v>
      </c>
      <c r="L114" s="2">
        <f>Tabla1[[#This Row],[Importe]]*Tabla1[[#This Row],[Cantidad]]</f>
        <v>2004.3612903225805</v>
      </c>
      <c r="M114" s="1">
        <v>46254</v>
      </c>
      <c r="N114" t="str">
        <f>TEXT(Tabla1[[#This Row],[Fecha Entrega]],"mmmm")</f>
        <v>agosto</v>
      </c>
      <c r="O114" t="s">
        <v>31</v>
      </c>
      <c r="P114" t="s">
        <v>182</v>
      </c>
    </row>
  </sheetData>
  <conditionalFormatting sqref="A10:P114">
    <cfRule type="expression" dxfId="0" priority="1">
      <formula>$O10="cumplido"</formula>
    </cfRule>
  </conditionalFormatting>
  <pageMargins left="0.25" right="0.25" top="0.75" bottom="0.75" header="0.3" footer="0.3"/>
  <pageSetup scale="53" fitToHeight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26089-EC3F-45BF-9936-9F7ED35E98A9}">
  <sheetPr>
    <pageSetUpPr fitToPage="1"/>
  </sheetPr>
  <dimension ref="A2:J29"/>
  <sheetViews>
    <sheetView workbookViewId="0">
      <selection activeCell="H21" sqref="H21"/>
    </sheetView>
  </sheetViews>
  <sheetFormatPr baseColWidth="10" defaultRowHeight="15" x14ac:dyDescent="0.25"/>
  <cols>
    <col min="1" max="1" width="27.85546875" bestFit="1" customWidth="1"/>
    <col min="3" max="3" width="11.42578125" customWidth="1"/>
    <col min="4" max="4" width="13.140625" style="14" customWidth="1"/>
    <col min="5" max="5" width="2.7109375" customWidth="1"/>
    <col min="6" max="9" width="14" customWidth="1"/>
    <col min="10" max="10" width="13.7109375" bestFit="1" customWidth="1"/>
  </cols>
  <sheetData>
    <row r="2" spans="1:10" x14ac:dyDescent="0.25">
      <c r="A2" s="3" t="s">
        <v>85</v>
      </c>
      <c r="B2" s="3" t="s">
        <v>4</v>
      </c>
      <c r="C2" s="3" t="s">
        <v>8</v>
      </c>
      <c r="D2" s="15" t="s">
        <v>9</v>
      </c>
      <c r="F2" s="16" t="s">
        <v>37</v>
      </c>
      <c r="G2" s="16" t="s">
        <v>86</v>
      </c>
      <c r="H2" s="16" t="s">
        <v>89</v>
      </c>
      <c r="I2" s="16" t="s">
        <v>102</v>
      </c>
      <c r="J2" s="16" t="s">
        <v>129</v>
      </c>
    </row>
    <row r="3" spans="1:10" x14ac:dyDescent="0.25">
      <c r="A3" s="12" t="s">
        <v>49</v>
      </c>
      <c r="B3" t="s">
        <v>19</v>
      </c>
      <c r="C3" t="s">
        <v>22</v>
      </c>
      <c r="D3" s="14">
        <v>3.15</v>
      </c>
      <c r="F3" s="17"/>
      <c r="G3" s="17"/>
      <c r="H3" s="17"/>
      <c r="I3" s="17"/>
      <c r="J3" s="17"/>
    </row>
    <row r="4" spans="1:10" x14ac:dyDescent="0.25">
      <c r="A4" s="12" t="s">
        <v>47</v>
      </c>
      <c r="B4" t="s">
        <v>19</v>
      </c>
      <c r="C4" t="s">
        <v>22</v>
      </c>
      <c r="D4" s="14">
        <v>12.7</v>
      </c>
      <c r="F4" s="18"/>
      <c r="G4" s="18">
        <v>13.9</v>
      </c>
      <c r="H4" s="18">
        <v>12.7</v>
      </c>
      <c r="I4" s="18"/>
      <c r="J4" s="18"/>
    </row>
    <row r="5" spans="1:10" x14ac:dyDescent="0.25">
      <c r="A5" s="12" t="s">
        <v>50</v>
      </c>
      <c r="B5" t="s">
        <v>19</v>
      </c>
      <c r="C5" t="s">
        <v>22</v>
      </c>
      <c r="D5" s="14">
        <v>2.8</v>
      </c>
      <c r="F5" s="17">
        <v>2.8</v>
      </c>
      <c r="G5" s="17"/>
      <c r="H5" s="17"/>
      <c r="I5" s="17">
        <v>2.75</v>
      </c>
      <c r="J5" s="17"/>
    </row>
    <row r="6" spans="1:10" x14ac:dyDescent="0.25">
      <c r="A6" s="12" t="s">
        <v>44</v>
      </c>
      <c r="B6" t="s">
        <v>19</v>
      </c>
      <c r="C6" t="s">
        <v>22</v>
      </c>
      <c r="D6" s="14">
        <v>0.85</v>
      </c>
      <c r="F6" s="18">
        <v>1.25</v>
      </c>
      <c r="G6" s="18">
        <v>0.85</v>
      </c>
      <c r="H6" s="18"/>
      <c r="I6" s="18">
        <v>0.97199999999999998</v>
      </c>
      <c r="J6" s="18"/>
    </row>
    <row r="7" spans="1:10" x14ac:dyDescent="0.25">
      <c r="A7" s="12" t="s">
        <v>48</v>
      </c>
      <c r="B7" t="s">
        <v>19</v>
      </c>
      <c r="C7" t="s">
        <v>22</v>
      </c>
      <c r="D7" s="14">
        <v>2.95</v>
      </c>
      <c r="F7" s="17">
        <v>2.85</v>
      </c>
      <c r="G7" s="17">
        <v>2.95</v>
      </c>
      <c r="H7" s="17">
        <v>2.0499999999999998</v>
      </c>
      <c r="I7" s="17"/>
      <c r="J7" s="17"/>
    </row>
    <row r="8" spans="1:10" x14ac:dyDescent="0.25">
      <c r="A8" s="12" t="s">
        <v>46</v>
      </c>
      <c r="B8" t="s">
        <v>19</v>
      </c>
      <c r="C8" t="s">
        <v>22</v>
      </c>
      <c r="D8" s="14">
        <v>2.1156999999999999</v>
      </c>
      <c r="F8" s="18"/>
      <c r="G8" s="18"/>
      <c r="H8" s="18"/>
      <c r="I8" s="18"/>
      <c r="J8" s="18"/>
    </row>
    <row r="9" spans="1:10" x14ac:dyDescent="0.25">
      <c r="A9" s="12" t="s">
        <v>41</v>
      </c>
      <c r="B9" t="s">
        <v>19</v>
      </c>
      <c r="C9" t="s">
        <v>22</v>
      </c>
      <c r="D9" s="14">
        <v>4.5</v>
      </c>
      <c r="F9" s="17">
        <v>4.0999999999999996</v>
      </c>
      <c r="G9" s="17">
        <v>4.5</v>
      </c>
      <c r="H9" s="17">
        <v>3.15</v>
      </c>
      <c r="I9" s="17">
        <v>5.63</v>
      </c>
      <c r="J9" s="17"/>
    </row>
    <row r="10" spans="1:10" x14ac:dyDescent="0.25">
      <c r="A10" s="12" t="s">
        <v>27</v>
      </c>
      <c r="B10" t="s">
        <v>19</v>
      </c>
      <c r="C10" t="s">
        <v>22</v>
      </c>
      <c r="D10" s="14">
        <v>1.6</v>
      </c>
      <c r="F10" s="18">
        <v>1.1499999999999999</v>
      </c>
      <c r="G10" s="18">
        <v>1.6</v>
      </c>
      <c r="H10" s="18"/>
      <c r="I10" s="18">
        <v>1.54</v>
      </c>
      <c r="J10" s="18"/>
    </row>
    <row r="11" spans="1:10" x14ac:dyDescent="0.25">
      <c r="A11" s="12" t="s">
        <v>35</v>
      </c>
      <c r="B11" t="s">
        <v>19</v>
      </c>
      <c r="C11" t="s">
        <v>22</v>
      </c>
      <c r="D11" s="14">
        <v>4.0999999999999996</v>
      </c>
      <c r="F11" s="17">
        <v>3.8</v>
      </c>
      <c r="G11" s="17"/>
      <c r="H11" s="17">
        <v>3.25</v>
      </c>
      <c r="I11" s="17">
        <v>6.2</v>
      </c>
      <c r="J11" s="17"/>
    </row>
    <row r="12" spans="1:10" x14ac:dyDescent="0.25">
      <c r="A12" s="12" t="s">
        <v>36</v>
      </c>
      <c r="B12" t="s">
        <v>19</v>
      </c>
      <c r="C12" t="s">
        <v>22</v>
      </c>
      <c r="D12" s="14">
        <v>1.55</v>
      </c>
      <c r="F12" s="18">
        <v>1.25</v>
      </c>
      <c r="G12" s="18"/>
      <c r="H12" s="18">
        <v>1.1499999999999999</v>
      </c>
      <c r="I12" s="18">
        <v>1.92</v>
      </c>
      <c r="J12" s="18"/>
    </row>
    <row r="13" spans="1:10" x14ac:dyDescent="0.25">
      <c r="A13" s="12" t="s">
        <v>26</v>
      </c>
      <c r="B13" t="s">
        <v>19</v>
      </c>
      <c r="C13" t="s">
        <v>22</v>
      </c>
      <c r="D13" s="14">
        <v>0.34</v>
      </c>
      <c r="F13" s="17">
        <v>0.34</v>
      </c>
      <c r="G13" s="17">
        <v>0.38</v>
      </c>
      <c r="H13" s="17"/>
      <c r="I13" s="17">
        <v>0.45</v>
      </c>
      <c r="J13" s="17">
        <v>0.59</v>
      </c>
    </row>
    <row r="14" spans="1:10" x14ac:dyDescent="0.25">
      <c r="A14" s="12" t="s">
        <v>20</v>
      </c>
      <c r="B14" t="s">
        <v>19</v>
      </c>
      <c r="C14" t="s">
        <v>22</v>
      </c>
      <c r="D14" s="14">
        <v>2.4500000000000002</v>
      </c>
      <c r="F14" s="18">
        <v>1.95</v>
      </c>
      <c r="G14" s="18">
        <v>2.4500000000000002</v>
      </c>
      <c r="H14" s="18"/>
      <c r="I14" s="18"/>
      <c r="J14" s="18"/>
    </row>
    <row r="15" spans="1:10" x14ac:dyDescent="0.25">
      <c r="A15" s="12" t="s">
        <v>39</v>
      </c>
      <c r="B15" t="s">
        <v>122</v>
      </c>
      <c r="C15" t="s">
        <v>9</v>
      </c>
      <c r="D15" s="14">
        <v>101000</v>
      </c>
      <c r="F15" s="17"/>
      <c r="G15" s="17"/>
      <c r="H15" s="17"/>
      <c r="I15" s="17"/>
      <c r="J15" s="17"/>
    </row>
    <row r="16" spans="1:10" x14ac:dyDescent="0.25">
      <c r="A16" s="12" t="s">
        <v>43</v>
      </c>
      <c r="B16" t="s">
        <v>122</v>
      </c>
      <c r="C16" t="s">
        <v>9</v>
      </c>
      <c r="D16" s="14">
        <v>137500</v>
      </c>
      <c r="F16" s="18"/>
      <c r="G16" s="18"/>
      <c r="H16" s="18"/>
      <c r="I16" s="18"/>
      <c r="J16" s="18"/>
    </row>
    <row r="17" spans="1:10" x14ac:dyDescent="0.25">
      <c r="A17" s="12" t="s">
        <v>28</v>
      </c>
      <c r="B17" t="s">
        <v>19</v>
      </c>
      <c r="C17" t="s">
        <v>22</v>
      </c>
      <c r="D17" s="14">
        <v>1.2</v>
      </c>
      <c r="F17" s="17">
        <v>1.1499999999999999</v>
      </c>
      <c r="G17" s="17">
        <f>0.6*2</f>
        <v>1.2</v>
      </c>
      <c r="H17" s="17"/>
      <c r="I17" s="17">
        <v>1.45</v>
      </c>
      <c r="J17" s="17"/>
    </row>
    <row r="18" spans="1:10" x14ac:dyDescent="0.25">
      <c r="A18" s="12" t="s">
        <v>168</v>
      </c>
      <c r="B18" t="s">
        <v>122</v>
      </c>
      <c r="C18" t="s">
        <v>9</v>
      </c>
      <c r="D18" s="14">
        <v>155000</v>
      </c>
    </row>
    <row r="21" spans="1:10" x14ac:dyDescent="0.25">
      <c r="G21">
        <v>3840</v>
      </c>
      <c r="H21">
        <f>G21/1393</f>
        <v>2.7566403445800431</v>
      </c>
    </row>
    <row r="23" spans="1:10" x14ac:dyDescent="0.25">
      <c r="A23" s="19" t="s">
        <v>87</v>
      </c>
    </row>
    <row r="24" spans="1:10" x14ac:dyDescent="0.25">
      <c r="A24" s="19" t="s">
        <v>88</v>
      </c>
    </row>
    <row r="25" spans="1:10" x14ac:dyDescent="0.25">
      <c r="A25" s="19" t="s">
        <v>103</v>
      </c>
      <c r="F25" t="s">
        <v>86</v>
      </c>
      <c r="G25">
        <v>8000</v>
      </c>
      <c r="H25" s="14">
        <f>G25*G13</f>
        <v>3040</v>
      </c>
    </row>
    <row r="26" spans="1:10" x14ac:dyDescent="0.25">
      <c r="A26" s="19" t="s">
        <v>104</v>
      </c>
      <c r="F26" t="s">
        <v>129</v>
      </c>
      <c r="G26">
        <v>8000</v>
      </c>
      <c r="H26" s="14">
        <f>G26*J13</f>
        <v>4720</v>
      </c>
    </row>
    <row r="29" spans="1:10" x14ac:dyDescent="0.25">
      <c r="G29" s="14"/>
      <c r="H29" s="14"/>
      <c r="I29" s="14"/>
    </row>
  </sheetData>
  <pageMargins left="0.25" right="0.25" top="0.75" bottom="0.75" header="0.3" footer="0.3"/>
  <pageSetup scale="38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5355-9C70-4FC1-A485-BF5C2AA12A5F}">
  <sheetPr>
    <tabColor theme="3" tint="0.249977111117893"/>
    <pageSetUpPr fitToPage="1"/>
  </sheetPr>
  <dimension ref="A3:F4"/>
  <sheetViews>
    <sheetView workbookViewId="0">
      <selection activeCell="J27" sqref="J27"/>
    </sheetView>
  </sheetViews>
  <sheetFormatPr baseColWidth="10" defaultRowHeight="15" x14ac:dyDescent="0.25"/>
  <cols>
    <col min="1" max="1" width="12.5703125" bestFit="1" customWidth="1"/>
    <col min="2" max="2" width="12.140625" bestFit="1" customWidth="1"/>
    <col min="3" max="3" width="24" bestFit="1" customWidth="1"/>
    <col min="4" max="4" width="17.28515625" bestFit="1" customWidth="1"/>
    <col min="5" max="5" width="17.42578125" bestFit="1" customWidth="1"/>
    <col min="6" max="6" width="13.5703125" bestFit="1" customWidth="1"/>
    <col min="7" max="7" width="17.42578125" bestFit="1" customWidth="1"/>
  </cols>
  <sheetData>
    <row r="3" spans="1:6" x14ac:dyDescent="0.25">
      <c r="A3" s="6" t="s">
        <v>11</v>
      </c>
      <c r="B3" s="6" t="s">
        <v>12</v>
      </c>
      <c r="C3" s="6" t="s">
        <v>5</v>
      </c>
      <c r="D3" s="6" t="s">
        <v>145</v>
      </c>
      <c r="E3" t="s">
        <v>57</v>
      </c>
      <c r="F3" t="s">
        <v>56</v>
      </c>
    </row>
    <row r="4" spans="1:6" x14ac:dyDescent="0.25">
      <c r="A4" t="s">
        <v>53</v>
      </c>
      <c r="F4" s="7"/>
    </row>
  </sheetData>
  <pageMargins left="0.23622047244094491" right="0.23622047244094491" top="0.39370078740157483" bottom="0.3937007874015748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A87F3-E3F8-45B0-9687-2ACC6F684D8D}">
  <dimension ref="A1:H47"/>
  <sheetViews>
    <sheetView showGridLines="0" zoomScale="86" zoomScaleNormal="86" workbookViewId="0">
      <selection activeCell="H17" sqref="H17"/>
    </sheetView>
  </sheetViews>
  <sheetFormatPr baseColWidth="10" defaultRowHeight="15" x14ac:dyDescent="0.25"/>
  <cols>
    <col min="1" max="1" width="27.85546875" customWidth="1"/>
    <col min="2" max="2" width="28.42578125" customWidth="1"/>
    <col min="3" max="3" width="7.5703125" bestFit="1" customWidth="1"/>
    <col min="4" max="4" width="17.42578125" bestFit="1" customWidth="1"/>
    <col min="5" max="5" width="15" bestFit="1" customWidth="1"/>
    <col min="6" max="6" width="15.7109375" bestFit="1" customWidth="1"/>
    <col min="7" max="7" width="19.28515625" bestFit="1" customWidth="1"/>
    <col min="8" max="8" width="31.5703125" bestFit="1" customWidth="1"/>
    <col min="9" max="9" width="32.85546875" bestFit="1" customWidth="1"/>
    <col min="10" max="10" width="9.42578125" bestFit="1" customWidth="1"/>
    <col min="11" max="11" width="17.42578125" bestFit="1" customWidth="1"/>
  </cols>
  <sheetData>
    <row r="1" spans="1:5" ht="35.25" customHeight="1" x14ac:dyDescent="0.25"/>
    <row r="2" spans="1:5" ht="35.25" customHeight="1" x14ac:dyDescent="0.25"/>
    <row r="3" spans="1:5" x14ac:dyDescent="0.25">
      <c r="A3" s="12" t="s">
        <v>31</v>
      </c>
    </row>
    <row r="4" spans="1:5" x14ac:dyDescent="0.25">
      <c r="A4" s="6" t="s">
        <v>7</v>
      </c>
      <c r="B4" s="6" t="s">
        <v>5</v>
      </c>
      <c r="C4" s="6" t="s">
        <v>4</v>
      </c>
      <c r="D4" t="s">
        <v>57</v>
      </c>
      <c r="E4" s="27" t="s">
        <v>56</v>
      </c>
    </row>
    <row r="5" spans="1:5" x14ac:dyDescent="0.25">
      <c r="A5" t="s">
        <v>52</v>
      </c>
      <c r="B5" t="s">
        <v>44</v>
      </c>
      <c r="C5" t="s">
        <v>19</v>
      </c>
      <c r="D5">
        <v>3000</v>
      </c>
      <c r="E5" s="27">
        <v>2550</v>
      </c>
    </row>
    <row r="6" spans="1:5" x14ac:dyDescent="0.25">
      <c r="B6" t="s">
        <v>46</v>
      </c>
      <c r="C6" t="s">
        <v>19</v>
      </c>
      <c r="D6">
        <v>1000</v>
      </c>
      <c r="E6" s="27">
        <v>2115.6999999999998</v>
      </c>
    </row>
    <row r="7" spans="1:5" x14ac:dyDescent="0.25">
      <c r="A7" t="s">
        <v>54</v>
      </c>
      <c r="D7" s="40">
        <v>4000</v>
      </c>
      <c r="E7" s="27">
        <v>4665.7</v>
      </c>
    </row>
    <row r="8" spans="1:5" x14ac:dyDescent="0.25">
      <c r="E8" s="27"/>
    </row>
    <row r="9" spans="1:5" x14ac:dyDescent="0.25">
      <c r="A9" t="s">
        <v>83</v>
      </c>
      <c r="B9" t="s">
        <v>26</v>
      </c>
      <c r="C9" t="s">
        <v>19</v>
      </c>
      <c r="D9">
        <v>500</v>
      </c>
      <c r="E9" s="27">
        <v>170</v>
      </c>
    </row>
    <row r="10" spans="1:5" x14ac:dyDescent="0.25">
      <c r="A10" t="s">
        <v>84</v>
      </c>
      <c r="D10" s="40">
        <v>500</v>
      </c>
      <c r="E10" s="27">
        <v>170</v>
      </c>
    </row>
    <row r="11" spans="1:5" x14ac:dyDescent="0.25">
      <c r="E11" s="27"/>
    </row>
    <row r="12" spans="1:5" x14ac:dyDescent="0.25">
      <c r="A12" t="s">
        <v>53</v>
      </c>
      <c r="D12" s="41">
        <v>4500</v>
      </c>
      <c r="E12" s="27">
        <v>4835.7</v>
      </c>
    </row>
    <row r="47" spans="8:8" x14ac:dyDescent="0.25">
      <c r="H47" t="s">
        <v>95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F977C-ED8F-4ED7-B384-50C31E9DF979}">
  <dimension ref="A3:D22"/>
  <sheetViews>
    <sheetView zoomScale="145" zoomScaleNormal="145" workbookViewId="0">
      <selection activeCell="D15" sqref="D15"/>
    </sheetView>
  </sheetViews>
  <sheetFormatPr baseColWidth="10" defaultRowHeight="15" x14ac:dyDescent="0.25"/>
  <cols>
    <col min="1" max="1" width="28.42578125" bestFit="1" customWidth="1"/>
    <col min="2" max="2" width="29.7109375" bestFit="1" customWidth="1"/>
    <col min="3" max="3" width="10.28515625" bestFit="1" customWidth="1"/>
    <col min="4" max="4" width="17.42578125" bestFit="1" customWidth="1"/>
  </cols>
  <sheetData>
    <row r="3" spans="1:4" x14ac:dyDescent="0.25">
      <c r="A3" s="6" t="s">
        <v>7</v>
      </c>
      <c r="B3" s="6" t="s">
        <v>5</v>
      </c>
      <c r="C3" s="6" t="s">
        <v>4</v>
      </c>
      <c r="D3" t="s">
        <v>57</v>
      </c>
    </row>
    <row r="4" spans="1:4" x14ac:dyDescent="0.25">
      <c r="A4" t="s">
        <v>52</v>
      </c>
      <c r="B4" t="s">
        <v>49</v>
      </c>
      <c r="C4" t="s">
        <v>19</v>
      </c>
      <c r="D4">
        <v>700</v>
      </c>
    </row>
    <row r="5" spans="1:4" x14ac:dyDescent="0.25">
      <c r="B5" t="s">
        <v>47</v>
      </c>
      <c r="C5" t="s">
        <v>19</v>
      </c>
      <c r="D5">
        <v>1000</v>
      </c>
    </row>
    <row r="6" spans="1:4" x14ac:dyDescent="0.25">
      <c r="B6" t="s">
        <v>50</v>
      </c>
      <c r="D6">
        <v>2400</v>
      </c>
    </row>
    <row r="7" spans="1:4" x14ac:dyDescent="0.25">
      <c r="B7" t="s">
        <v>44</v>
      </c>
      <c r="C7" t="s">
        <v>19</v>
      </c>
      <c r="D7">
        <v>15250</v>
      </c>
    </row>
    <row r="8" spans="1:4" x14ac:dyDescent="0.25">
      <c r="B8" t="s">
        <v>48</v>
      </c>
      <c r="C8" t="s">
        <v>19</v>
      </c>
      <c r="D8">
        <v>2100</v>
      </c>
    </row>
    <row r="9" spans="1:4" x14ac:dyDescent="0.25">
      <c r="B9" t="s">
        <v>46</v>
      </c>
      <c r="C9" t="s">
        <v>19</v>
      </c>
      <c r="D9">
        <v>4574</v>
      </c>
    </row>
    <row r="10" spans="1:4" x14ac:dyDescent="0.25">
      <c r="B10" t="s">
        <v>41</v>
      </c>
      <c r="C10" t="s">
        <v>19</v>
      </c>
      <c r="D10">
        <v>1525</v>
      </c>
    </row>
    <row r="12" spans="1:4" x14ac:dyDescent="0.25">
      <c r="A12" t="s">
        <v>83</v>
      </c>
      <c r="B12" t="s">
        <v>27</v>
      </c>
      <c r="C12" t="s">
        <v>19</v>
      </c>
      <c r="D12">
        <v>31470</v>
      </c>
    </row>
    <row r="13" spans="1:4" x14ac:dyDescent="0.25">
      <c r="B13" t="s">
        <v>35</v>
      </c>
      <c r="C13" t="s">
        <v>19</v>
      </c>
      <c r="D13">
        <v>200</v>
      </c>
    </row>
    <row r="14" spans="1:4" x14ac:dyDescent="0.25">
      <c r="B14" t="s">
        <v>36</v>
      </c>
      <c r="C14" t="s">
        <v>19</v>
      </c>
      <c r="D14">
        <v>3000</v>
      </c>
    </row>
    <row r="15" spans="1:4" x14ac:dyDescent="0.25">
      <c r="B15" t="s">
        <v>26</v>
      </c>
      <c r="C15" t="s">
        <v>19</v>
      </c>
      <c r="D15">
        <v>46500</v>
      </c>
    </row>
    <row r="16" spans="1:4" x14ac:dyDescent="0.25">
      <c r="B16" t="s">
        <v>20</v>
      </c>
      <c r="C16" t="s">
        <v>19</v>
      </c>
      <c r="D16">
        <v>6000</v>
      </c>
    </row>
    <row r="17" spans="1:4" x14ac:dyDescent="0.25">
      <c r="B17" t="s">
        <v>39</v>
      </c>
      <c r="C17" t="s">
        <v>123</v>
      </c>
      <c r="D17">
        <v>1198.58</v>
      </c>
    </row>
    <row r="18" spans="1:4" x14ac:dyDescent="0.25">
      <c r="B18" t="s">
        <v>43</v>
      </c>
      <c r="C18" t="s">
        <v>123</v>
      </c>
      <c r="D18">
        <v>185.08</v>
      </c>
    </row>
    <row r="19" spans="1:4" x14ac:dyDescent="0.25">
      <c r="B19" t="s">
        <v>28</v>
      </c>
      <c r="C19" t="s">
        <v>19</v>
      </c>
      <c r="D19">
        <v>110200</v>
      </c>
    </row>
    <row r="20" spans="1:4" x14ac:dyDescent="0.25">
      <c r="B20" t="s">
        <v>168</v>
      </c>
      <c r="C20" t="s">
        <v>123</v>
      </c>
      <c r="D20">
        <v>14.8</v>
      </c>
    </row>
    <row r="22" spans="1:4" x14ac:dyDescent="0.25">
      <c r="A22" t="s">
        <v>53</v>
      </c>
      <c r="D22">
        <v>226317.46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D037-1BA3-4753-9F8F-0F492D1A1442}">
  <dimension ref="A3:G22"/>
  <sheetViews>
    <sheetView zoomScale="130" zoomScaleNormal="130" workbookViewId="0">
      <selection activeCell="F19" sqref="F19"/>
    </sheetView>
  </sheetViews>
  <sheetFormatPr baseColWidth="10" defaultRowHeight="15" x14ac:dyDescent="0.25"/>
  <cols>
    <col min="1" max="1" width="28.42578125" bestFit="1" customWidth="1"/>
    <col min="2" max="2" width="29.7109375" bestFit="1" customWidth="1"/>
    <col min="3" max="4" width="11.28515625" bestFit="1" customWidth="1"/>
    <col min="5" max="5" width="10.28515625" bestFit="1" customWidth="1"/>
    <col min="6" max="6" width="17.42578125" bestFit="1" customWidth="1"/>
    <col min="7" max="7" width="13.7109375" bestFit="1" customWidth="1"/>
  </cols>
  <sheetData>
    <row r="3" spans="1:7" x14ac:dyDescent="0.25">
      <c r="A3" s="6" t="s">
        <v>7</v>
      </c>
      <c r="B3" s="6" t="s">
        <v>5</v>
      </c>
      <c r="C3" s="6" t="s">
        <v>8</v>
      </c>
      <c r="D3" s="6" t="s">
        <v>9</v>
      </c>
      <c r="E3" s="6" t="s">
        <v>4</v>
      </c>
      <c r="F3" t="s">
        <v>57</v>
      </c>
      <c r="G3" t="s">
        <v>56</v>
      </c>
    </row>
    <row r="4" spans="1:7" x14ac:dyDescent="0.25">
      <c r="A4" t="s">
        <v>52</v>
      </c>
      <c r="B4" t="s">
        <v>49</v>
      </c>
      <c r="C4" t="s">
        <v>22</v>
      </c>
      <c r="D4">
        <v>3.15</v>
      </c>
      <c r="E4" t="s">
        <v>19</v>
      </c>
      <c r="F4">
        <v>700</v>
      </c>
      <c r="G4" s="7">
        <v>2205</v>
      </c>
    </row>
    <row r="5" spans="1:7" x14ac:dyDescent="0.25">
      <c r="B5" t="s">
        <v>47</v>
      </c>
      <c r="C5" t="s">
        <v>22</v>
      </c>
      <c r="D5">
        <v>12.7</v>
      </c>
      <c r="E5" t="s">
        <v>19</v>
      </c>
      <c r="F5">
        <v>1000</v>
      </c>
      <c r="G5" s="7">
        <v>12700</v>
      </c>
    </row>
    <row r="6" spans="1:7" x14ac:dyDescent="0.25">
      <c r="B6" t="s">
        <v>50</v>
      </c>
      <c r="C6" t="s">
        <v>22</v>
      </c>
      <c r="D6">
        <v>2.8</v>
      </c>
      <c r="E6" t="s">
        <v>19</v>
      </c>
      <c r="F6">
        <v>2400</v>
      </c>
      <c r="G6" s="7">
        <v>6720</v>
      </c>
    </row>
    <row r="7" spans="1:7" x14ac:dyDescent="0.25">
      <c r="B7" t="s">
        <v>44</v>
      </c>
      <c r="C7" t="s">
        <v>22</v>
      </c>
      <c r="D7">
        <v>0.85</v>
      </c>
      <c r="E7" t="s">
        <v>19</v>
      </c>
      <c r="F7">
        <v>15250</v>
      </c>
      <c r="G7" s="7">
        <v>12962.5</v>
      </c>
    </row>
    <row r="8" spans="1:7" x14ac:dyDescent="0.25">
      <c r="B8" t="s">
        <v>48</v>
      </c>
      <c r="C8" t="s">
        <v>22</v>
      </c>
      <c r="D8">
        <v>2.95</v>
      </c>
      <c r="E8" t="s">
        <v>19</v>
      </c>
      <c r="F8">
        <v>2100</v>
      </c>
      <c r="G8" s="7">
        <v>6195</v>
      </c>
    </row>
    <row r="9" spans="1:7" x14ac:dyDescent="0.25">
      <c r="B9" t="s">
        <v>46</v>
      </c>
      <c r="C9" t="s">
        <v>22</v>
      </c>
      <c r="D9">
        <v>2.1156999999999999</v>
      </c>
      <c r="E9" t="s">
        <v>19</v>
      </c>
      <c r="F9">
        <v>4574</v>
      </c>
      <c r="G9" s="7">
        <v>9677.2117999999991</v>
      </c>
    </row>
    <row r="10" spans="1:7" x14ac:dyDescent="0.25">
      <c r="B10" t="s">
        <v>41</v>
      </c>
      <c r="C10" t="s">
        <v>22</v>
      </c>
      <c r="D10">
        <v>4.5</v>
      </c>
      <c r="E10" t="s">
        <v>19</v>
      </c>
      <c r="F10">
        <v>1525</v>
      </c>
      <c r="G10" s="7">
        <v>6862.5</v>
      </c>
    </row>
    <row r="11" spans="1:7" x14ac:dyDescent="0.25">
      <c r="G11" s="7"/>
    </row>
    <row r="12" spans="1:7" x14ac:dyDescent="0.25">
      <c r="A12" t="s">
        <v>83</v>
      </c>
      <c r="B12" t="s">
        <v>27</v>
      </c>
      <c r="C12" t="s">
        <v>22</v>
      </c>
      <c r="D12">
        <v>1.6</v>
      </c>
      <c r="E12" t="s">
        <v>19</v>
      </c>
      <c r="F12">
        <v>31470</v>
      </c>
      <c r="G12" s="7">
        <v>50352</v>
      </c>
    </row>
    <row r="13" spans="1:7" x14ac:dyDescent="0.25">
      <c r="B13" t="s">
        <v>35</v>
      </c>
      <c r="C13" t="s">
        <v>22</v>
      </c>
      <c r="D13">
        <v>4.0999999999999996</v>
      </c>
      <c r="E13" t="s">
        <v>19</v>
      </c>
      <c r="F13">
        <v>200</v>
      </c>
      <c r="G13" s="7">
        <v>819.99999999999989</v>
      </c>
    </row>
    <row r="14" spans="1:7" x14ac:dyDescent="0.25">
      <c r="B14" t="s">
        <v>36</v>
      </c>
      <c r="C14" t="s">
        <v>22</v>
      </c>
      <c r="D14">
        <v>1.55</v>
      </c>
      <c r="E14" t="s">
        <v>19</v>
      </c>
      <c r="F14">
        <v>3000</v>
      </c>
      <c r="G14" s="7">
        <v>4650</v>
      </c>
    </row>
    <row r="15" spans="1:7" x14ac:dyDescent="0.25">
      <c r="B15" t="s">
        <v>26</v>
      </c>
      <c r="C15" t="s">
        <v>22</v>
      </c>
      <c r="D15">
        <v>0.34</v>
      </c>
      <c r="E15" t="s">
        <v>19</v>
      </c>
      <c r="F15">
        <v>46500</v>
      </c>
      <c r="G15" s="7">
        <v>15810</v>
      </c>
    </row>
    <row r="16" spans="1:7" x14ac:dyDescent="0.25">
      <c r="B16" t="s">
        <v>20</v>
      </c>
      <c r="C16" t="s">
        <v>22</v>
      </c>
      <c r="D16">
        <v>2.4500000000000002</v>
      </c>
      <c r="E16" t="s">
        <v>19</v>
      </c>
      <c r="F16">
        <v>6000</v>
      </c>
      <c r="G16" s="7">
        <v>14700</v>
      </c>
    </row>
    <row r="17" spans="1:7" x14ac:dyDescent="0.25">
      <c r="B17" t="s">
        <v>39</v>
      </c>
      <c r="C17" t="s">
        <v>9</v>
      </c>
      <c r="D17">
        <v>101000</v>
      </c>
      <c r="E17" t="s">
        <v>123</v>
      </c>
      <c r="F17">
        <v>1198.58</v>
      </c>
      <c r="G17" s="7">
        <v>78864.221498371349</v>
      </c>
    </row>
    <row r="18" spans="1:7" x14ac:dyDescent="0.25">
      <c r="B18" t="s">
        <v>43</v>
      </c>
      <c r="C18" t="s">
        <v>9</v>
      </c>
      <c r="D18">
        <v>137500</v>
      </c>
      <c r="E18" t="s">
        <v>123</v>
      </c>
      <c r="F18">
        <v>185.08</v>
      </c>
      <c r="G18" s="7">
        <v>16578.827361563519</v>
      </c>
    </row>
    <row r="19" spans="1:7" x14ac:dyDescent="0.25">
      <c r="B19" t="s">
        <v>28</v>
      </c>
      <c r="C19" t="s">
        <v>22</v>
      </c>
      <c r="D19">
        <v>1.2</v>
      </c>
      <c r="E19" t="s">
        <v>19</v>
      </c>
      <c r="F19">
        <v>110200</v>
      </c>
      <c r="G19" s="7">
        <v>132240</v>
      </c>
    </row>
    <row r="20" spans="1:7" x14ac:dyDescent="0.25">
      <c r="B20" t="s">
        <v>168</v>
      </c>
      <c r="C20" t="s">
        <v>9</v>
      </c>
      <c r="D20">
        <v>155000</v>
      </c>
      <c r="E20" t="s">
        <v>123</v>
      </c>
      <c r="F20">
        <v>14.8</v>
      </c>
      <c r="G20" s="7">
        <v>1494.4625407166125</v>
      </c>
    </row>
    <row r="21" spans="1:7" x14ac:dyDescent="0.25">
      <c r="G21" s="7"/>
    </row>
    <row r="22" spans="1:7" x14ac:dyDescent="0.25">
      <c r="A22" t="s">
        <v>53</v>
      </c>
      <c r="F22" s="42">
        <v>226317.46</v>
      </c>
      <c r="G22" s="7">
        <v>372831.72320065147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86F91-52FE-4293-AF8B-86F1206FA63B}">
  <dimension ref="A1:G66"/>
  <sheetViews>
    <sheetView zoomScale="82" zoomScaleNormal="82" workbookViewId="0">
      <selection activeCell="H47" sqref="H47"/>
    </sheetView>
  </sheetViews>
  <sheetFormatPr baseColWidth="10" defaultRowHeight="15" x14ac:dyDescent="0.25"/>
  <cols>
    <col min="1" max="1" width="27.85546875" customWidth="1"/>
    <col min="2" max="2" width="15.140625" bestFit="1" customWidth="1"/>
    <col min="3" max="3" width="29.42578125" bestFit="1" customWidth="1"/>
    <col min="4" max="4" width="7.5703125" bestFit="1" customWidth="1"/>
    <col min="5" max="5" width="10.85546875" bestFit="1" customWidth="1"/>
    <col min="6" max="6" width="17.42578125" bestFit="1" customWidth="1"/>
    <col min="7" max="7" width="16" bestFit="1" customWidth="1"/>
    <col min="8" max="8" width="31.5703125" bestFit="1" customWidth="1"/>
    <col min="9" max="9" width="32.85546875" bestFit="1" customWidth="1"/>
    <col min="10" max="10" width="9.42578125" bestFit="1" customWidth="1"/>
    <col min="11" max="11" width="17.42578125" bestFit="1" customWidth="1"/>
  </cols>
  <sheetData>
    <row r="1" spans="1:7" ht="35.25" customHeight="1" x14ac:dyDescent="0.25">
      <c r="F1" s="2"/>
    </row>
    <row r="2" spans="1:7" ht="35.25" customHeight="1" x14ac:dyDescent="0.25"/>
    <row r="3" spans="1:7" x14ac:dyDescent="0.25">
      <c r="A3" s="12" t="s">
        <v>24</v>
      </c>
    </row>
    <row r="4" spans="1:7" x14ac:dyDescent="0.25">
      <c r="A4" s="6" t="s">
        <v>7</v>
      </c>
      <c r="B4" s="6" t="s">
        <v>12</v>
      </c>
      <c r="C4" s="6" t="s">
        <v>5</v>
      </c>
      <c r="D4" s="6" t="s">
        <v>4</v>
      </c>
      <c r="E4" s="6" t="s">
        <v>11</v>
      </c>
      <c r="F4" t="s">
        <v>57</v>
      </c>
      <c r="G4" s="27" t="s">
        <v>56</v>
      </c>
    </row>
    <row r="5" spans="1:7" x14ac:dyDescent="0.25">
      <c r="A5" t="s">
        <v>52</v>
      </c>
      <c r="B5" t="s">
        <v>31</v>
      </c>
      <c r="C5" t="s">
        <v>49</v>
      </c>
      <c r="D5" t="s">
        <v>19</v>
      </c>
      <c r="E5" t="s">
        <v>42</v>
      </c>
      <c r="F5">
        <v>335</v>
      </c>
      <c r="G5" s="27">
        <v>1055.25</v>
      </c>
    </row>
    <row r="6" spans="1:7" x14ac:dyDescent="0.25">
      <c r="E6" t="s">
        <v>45</v>
      </c>
      <c r="F6">
        <v>335</v>
      </c>
      <c r="G6" s="27">
        <v>1055.25</v>
      </c>
    </row>
    <row r="7" spans="1:7" x14ac:dyDescent="0.25">
      <c r="E7" t="s">
        <v>99</v>
      </c>
      <c r="F7">
        <v>30</v>
      </c>
      <c r="G7" s="27">
        <v>94.5</v>
      </c>
    </row>
    <row r="8" spans="1:7" x14ac:dyDescent="0.25">
      <c r="C8" t="s">
        <v>47</v>
      </c>
      <c r="D8" t="s">
        <v>19</v>
      </c>
      <c r="E8" t="s">
        <v>45</v>
      </c>
      <c r="F8">
        <v>1000</v>
      </c>
      <c r="G8" s="27">
        <v>12700</v>
      </c>
    </row>
    <row r="9" spans="1:7" x14ac:dyDescent="0.25">
      <c r="C9" t="s">
        <v>50</v>
      </c>
      <c r="D9" t="s">
        <v>19</v>
      </c>
      <c r="E9" t="s">
        <v>25</v>
      </c>
      <c r="F9">
        <v>500</v>
      </c>
      <c r="G9" s="27">
        <v>1400</v>
      </c>
    </row>
    <row r="10" spans="1:7" x14ac:dyDescent="0.25">
      <c r="E10" t="s">
        <v>34</v>
      </c>
      <c r="F10">
        <v>400</v>
      </c>
      <c r="G10" s="27">
        <v>1120</v>
      </c>
    </row>
    <row r="11" spans="1:7" x14ac:dyDescent="0.25">
      <c r="E11" t="s">
        <v>42</v>
      </c>
      <c r="F11">
        <v>1500</v>
      </c>
      <c r="G11" s="27">
        <v>4200</v>
      </c>
    </row>
    <row r="12" spans="1:7" x14ac:dyDescent="0.25">
      <c r="C12" t="s">
        <v>44</v>
      </c>
      <c r="D12" t="s">
        <v>19</v>
      </c>
      <c r="E12" t="s">
        <v>23</v>
      </c>
      <c r="F12">
        <v>4250</v>
      </c>
      <c r="G12" s="27">
        <v>3612.5</v>
      </c>
    </row>
    <row r="13" spans="1:7" x14ac:dyDescent="0.25">
      <c r="E13" t="s">
        <v>25</v>
      </c>
      <c r="F13">
        <v>2500</v>
      </c>
      <c r="G13" s="27">
        <v>2125</v>
      </c>
    </row>
    <row r="14" spans="1:7" x14ac:dyDescent="0.25">
      <c r="E14" t="s">
        <v>34</v>
      </c>
      <c r="F14">
        <v>500</v>
      </c>
      <c r="G14" s="27">
        <v>425</v>
      </c>
    </row>
    <row r="15" spans="1:7" x14ac:dyDescent="0.25">
      <c r="E15" t="s">
        <v>42</v>
      </c>
      <c r="F15">
        <v>1000</v>
      </c>
      <c r="G15" s="27">
        <v>850</v>
      </c>
    </row>
    <row r="16" spans="1:7" x14ac:dyDescent="0.25">
      <c r="E16" t="s">
        <v>45</v>
      </c>
      <c r="F16">
        <v>4000</v>
      </c>
      <c r="G16" s="27">
        <v>3400</v>
      </c>
    </row>
    <row r="17" spans="1:7" x14ac:dyDescent="0.25">
      <c r="C17" t="s">
        <v>48</v>
      </c>
      <c r="D17" t="s">
        <v>19</v>
      </c>
      <c r="E17" t="s">
        <v>23</v>
      </c>
      <c r="F17">
        <v>2000</v>
      </c>
      <c r="G17" s="27">
        <v>5900</v>
      </c>
    </row>
    <row r="18" spans="1:7" x14ac:dyDescent="0.25">
      <c r="E18" t="s">
        <v>42</v>
      </c>
      <c r="F18">
        <v>100</v>
      </c>
      <c r="G18" s="27">
        <v>295</v>
      </c>
    </row>
    <row r="19" spans="1:7" x14ac:dyDescent="0.25">
      <c r="C19" t="s">
        <v>46</v>
      </c>
      <c r="D19" t="s">
        <v>19</v>
      </c>
      <c r="E19" t="s">
        <v>23</v>
      </c>
      <c r="F19">
        <v>774</v>
      </c>
      <c r="G19" s="27">
        <v>1637.5518</v>
      </c>
    </row>
    <row r="20" spans="1:7" x14ac:dyDescent="0.25">
      <c r="E20" t="s">
        <v>25</v>
      </c>
      <c r="F20">
        <v>800</v>
      </c>
      <c r="G20" s="27">
        <v>1692.56</v>
      </c>
    </row>
    <row r="21" spans="1:7" x14ac:dyDescent="0.25">
      <c r="E21" t="s">
        <v>42</v>
      </c>
      <c r="F21">
        <v>1000</v>
      </c>
      <c r="G21" s="27">
        <v>2115.6999999999998</v>
      </c>
    </row>
    <row r="22" spans="1:7" x14ac:dyDescent="0.25">
      <c r="E22" t="s">
        <v>45</v>
      </c>
      <c r="F22">
        <v>1000</v>
      </c>
      <c r="G22" s="27">
        <v>2115.6999999999998</v>
      </c>
    </row>
    <row r="23" spans="1:7" x14ac:dyDescent="0.25">
      <c r="C23" t="s">
        <v>41</v>
      </c>
      <c r="D23" t="s">
        <v>19</v>
      </c>
      <c r="E23" t="s">
        <v>25</v>
      </c>
      <c r="F23">
        <v>475</v>
      </c>
      <c r="G23" s="27">
        <v>2137.5</v>
      </c>
    </row>
    <row r="24" spans="1:7" x14ac:dyDescent="0.25">
      <c r="E24" t="s">
        <v>34</v>
      </c>
      <c r="F24">
        <v>400</v>
      </c>
      <c r="G24" s="27">
        <v>1800</v>
      </c>
    </row>
    <row r="25" spans="1:7" x14ac:dyDescent="0.25">
      <c r="E25" t="s">
        <v>42</v>
      </c>
      <c r="F25">
        <v>650</v>
      </c>
      <c r="G25" s="27">
        <v>2925</v>
      </c>
    </row>
    <row r="26" spans="1:7" x14ac:dyDescent="0.25">
      <c r="B26" t="s">
        <v>96</v>
      </c>
      <c r="F26">
        <v>23549</v>
      </c>
      <c r="G26" s="27">
        <v>52656.511799999993</v>
      </c>
    </row>
    <row r="27" spans="1:7" x14ac:dyDescent="0.25">
      <c r="B27" t="s">
        <v>24</v>
      </c>
      <c r="C27" t="s">
        <v>44</v>
      </c>
      <c r="D27" t="s">
        <v>19</v>
      </c>
      <c r="E27" t="s">
        <v>187</v>
      </c>
      <c r="F27">
        <v>3000</v>
      </c>
      <c r="G27" s="27">
        <v>2550</v>
      </c>
    </row>
    <row r="28" spans="1:7" x14ac:dyDescent="0.25">
      <c r="C28" t="s">
        <v>46</v>
      </c>
      <c r="D28" t="s">
        <v>19</v>
      </c>
      <c r="E28" t="s">
        <v>187</v>
      </c>
      <c r="F28">
        <v>1000</v>
      </c>
      <c r="G28" s="27">
        <v>2115.6999999999998</v>
      </c>
    </row>
    <row r="29" spans="1:7" x14ac:dyDescent="0.25">
      <c r="B29" t="s">
        <v>97</v>
      </c>
      <c r="F29">
        <v>4000</v>
      </c>
      <c r="G29" s="27">
        <v>4665.7</v>
      </c>
    </row>
    <row r="30" spans="1:7" x14ac:dyDescent="0.25">
      <c r="A30" t="s">
        <v>54</v>
      </c>
      <c r="F30" s="40">
        <v>27549</v>
      </c>
      <c r="G30" s="27">
        <v>57322.21179999999</v>
      </c>
    </row>
    <row r="31" spans="1:7" x14ac:dyDescent="0.25">
      <c r="G31" s="27"/>
    </row>
    <row r="32" spans="1:7" x14ac:dyDescent="0.25">
      <c r="A32" t="s">
        <v>83</v>
      </c>
      <c r="B32" t="s">
        <v>31</v>
      </c>
      <c r="C32" t="s">
        <v>27</v>
      </c>
      <c r="D32" t="s">
        <v>19</v>
      </c>
      <c r="E32" t="s">
        <v>23</v>
      </c>
      <c r="F32">
        <v>8670</v>
      </c>
      <c r="G32" s="27">
        <v>13872</v>
      </c>
    </row>
    <row r="33" spans="3:7" x14ac:dyDescent="0.25">
      <c r="E33" t="s">
        <v>25</v>
      </c>
      <c r="F33">
        <v>12000</v>
      </c>
      <c r="G33" s="27">
        <v>19200</v>
      </c>
    </row>
    <row r="34" spans="3:7" x14ac:dyDescent="0.25">
      <c r="E34" t="s">
        <v>34</v>
      </c>
      <c r="F34">
        <v>4800</v>
      </c>
      <c r="G34" s="27">
        <v>7680</v>
      </c>
    </row>
    <row r="35" spans="3:7" x14ac:dyDescent="0.25">
      <c r="E35" t="s">
        <v>42</v>
      </c>
      <c r="F35">
        <v>6000</v>
      </c>
      <c r="G35" s="27">
        <v>9600</v>
      </c>
    </row>
    <row r="36" spans="3:7" x14ac:dyDescent="0.25">
      <c r="C36" t="s">
        <v>35</v>
      </c>
      <c r="D36" t="s">
        <v>19</v>
      </c>
      <c r="E36" t="s">
        <v>25</v>
      </c>
      <c r="F36">
        <v>200</v>
      </c>
      <c r="G36" s="27">
        <v>819.99999999999989</v>
      </c>
    </row>
    <row r="37" spans="3:7" x14ac:dyDescent="0.25">
      <c r="C37" t="s">
        <v>36</v>
      </c>
      <c r="D37" t="s">
        <v>19</v>
      </c>
      <c r="E37" t="s">
        <v>25</v>
      </c>
      <c r="F37">
        <v>3000</v>
      </c>
      <c r="G37" s="27">
        <v>4650</v>
      </c>
    </row>
    <row r="38" spans="3:7" x14ac:dyDescent="0.25">
      <c r="C38" t="s">
        <v>26</v>
      </c>
      <c r="D38" t="s">
        <v>19</v>
      </c>
      <c r="E38" t="s">
        <v>30</v>
      </c>
      <c r="F38">
        <v>7000</v>
      </c>
      <c r="G38" s="27">
        <v>2380</v>
      </c>
    </row>
    <row r="39" spans="3:7" x14ac:dyDescent="0.25">
      <c r="E39" t="s">
        <v>23</v>
      </c>
      <c r="F39">
        <v>10000</v>
      </c>
      <c r="G39" s="27">
        <v>3400.0000000000005</v>
      </c>
    </row>
    <row r="40" spans="3:7" x14ac:dyDescent="0.25">
      <c r="E40" t="s">
        <v>25</v>
      </c>
      <c r="F40">
        <v>14000</v>
      </c>
      <c r="G40" s="27">
        <v>4760</v>
      </c>
    </row>
    <row r="41" spans="3:7" x14ac:dyDescent="0.25">
      <c r="E41" t="s">
        <v>34</v>
      </c>
      <c r="F41">
        <v>12000</v>
      </c>
      <c r="G41" s="27">
        <v>4080.0000000000005</v>
      </c>
    </row>
    <row r="42" spans="3:7" x14ac:dyDescent="0.25">
      <c r="E42" t="s">
        <v>42</v>
      </c>
      <c r="F42">
        <v>3000</v>
      </c>
      <c r="G42" s="27">
        <v>1020.0000000000001</v>
      </c>
    </row>
    <row r="43" spans="3:7" x14ac:dyDescent="0.25">
      <c r="C43" t="s">
        <v>20</v>
      </c>
      <c r="D43" t="s">
        <v>19</v>
      </c>
      <c r="E43" t="s">
        <v>23</v>
      </c>
      <c r="F43">
        <v>5000</v>
      </c>
      <c r="G43" s="27">
        <v>12250</v>
      </c>
    </row>
    <row r="44" spans="3:7" x14ac:dyDescent="0.25">
      <c r="E44" t="s">
        <v>25</v>
      </c>
      <c r="F44">
        <v>1000</v>
      </c>
      <c r="G44" s="27">
        <v>2450</v>
      </c>
    </row>
    <row r="45" spans="3:7" x14ac:dyDescent="0.25">
      <c r="C45" t="s">
        <v>39</v>
      </c>
      <c r="D45" t="s">
        <v>123</v>
      </c>
      <c r="E45" t="s">
        <v>30</v>
      </c>
      <c r="F45">
        <v>72.06</v>
      </c>
      <c r="G45" s="27">
        <v>4741.4071661237786</v>
      </c>
    </row>
    <row r="46" spans="3:7" x14ac:dyDescent="0.25">
      <c r="E46" t="s">
        <v>23</v>
      </c>
      <c r="F46">
        <v>203.38</v>
      </c>
      <c r="G46" s="27">
        <v>13382.006514657982</v>
      </c>
    </row>
    <row r="47" spans="3:7" x14ac:dyDescent="0.25">
      <c r="E47" t="s">
        <v>25</v>
      </c>
      <c r="F47">
        <v>360.96000000000004</v>
      </c>
      <c r="G47" s="27">
        <v>23750.462540716617</v>
      </c>
    </row>
    <row r="48" spans="3:7" x14ac:dyDescent="0.25">
      <c r="E48" t="s">
        <v>34</v>
      </c>
      <c r="F48">
        <v>288.98</v>
      </c>
      <c r="G48" s="27">
        <v>19014.319218241046</v>
      </c>
    </row>
    <row r="49" spans="1:7" x14ac:dyDescent="0.25">
      <c r="E49" t="s">
        <v>42</v>
      </c>
      <c r="F49">
        <v>212.8</v>
      </c>
      <c r="G49" s="27">
        <v>14001.824104234529</v>
      </c>
    </row>
    <row r="50" spans="1:7" x14ac:dyDescent="0.25">
      <c r="E50" t="s">
        <v>45</v>
      </c>
      <c r="F50">
        <v>29.64</v>
      </c>
      <c r="G50" s="27">
        <v>1950.254071661238</v>
      </c>
    </row>
    <row r="51" spans="1:7" x14ac:dyDescent="0.25">
      <c r="E51" t="s">
        <v>184</v>
      </c>
      <c r="F51">
        <v>30.76</v>
      </c>
      <c r="G51" s="27">
        <v>2023.9478827361565</v>
      </c>
    </row>
    <row r="52" spans="1:7" x14ac:dyDescent="0.25">
      <c r="C52" t="s">
        <v>43</v>
      </c>
      <c r="D52" t="s">
        <v>123</v>
      </c>
      <c r="E52" t="s">
        <v>23</v>
      </c>
      <c r="F52">
        <v>57.08</v>
      </c>
      <c r="G52" s="27">
        <v>5113.0293159609118</v>
      </c>
    </row>
    <row r="53" spans="1:7" x14ac:dyDescent="0.25">
      <c r="E53" t="s">
        <v>25</v>
      </c>
      <c r="F53">
        <v>57.6</v>
      </c>
      <c r="G53" s="27">
        <v>5159.6091205211724</v>
      </c>
    </row>
    <row r="54" spans="1:7" x14ac:dyDescent="0.25">
      <c r="E54" t="s">
        <v>34</v>
      </c>
      <c r="F54">
        <v>55.6</v>
      </c>
      <c r="G54" s="27">
        <v>4980.4560260586322</v>
      </c>
    </row>
    <row r="55" spans="1:7" x14ac:dyDescent="0.25">
      <c r="E55" t="s">
        <v>42</v>
      </c>
      <c r="F55">
        <v>14.8</v>
      </c>
      <c r="G55" s="27">
        <v>1325.7328990228013</v>
      </c>
    </row>
    <row r="56" spans="1:7" x14ac:dyDescent="0.25">
      <c r="C56" t="s">
        <v>28</v>
      </c>
      <c r="D56" t="s">
        <v>19</v>
      </c>
      <c r="E56" t="s">
        <v>30</v>
      </c>
      <c r="F56">
        <v>37000</v>
      </c>
      <c r="G56" s="27">
        <v>44400</v>
      </c>
    </row>
    <row r="57" spans="1:7" x14ac:dyDescent="0.25">
      <c r="E57" t="s">
        <v>25</v>
      </c>
      <c r="F57">
        <v>28800</v>
      </c>
      <c r="G57" s="27">
        <v>34560</v>
      </c>
    </row>
    <row r="58" spans="1:7" x14ac:dyDescent="0.25">
      <c r="E58" t="s">
        <v>34</v>
      </c>
      <c r="F58">
        <v>42000</v>
      </c>
      <c r="G58" s="27">
        <v>50400</v>
      </c>
    </row>
    <row r="59" spans="1:7" x14ac:dyDescent="0.25">
      <c r="E59" t="s">
        <v>42</v>
      </c>
      <c r="F59">
        <v>2400</v>
      </c>
      <c r="G59" s="27">
        <v>2880</v>
      </c>
    </row>
    <row r="60" spans="1:7" x14ac:dyDescent="0.25">
      <c r="C60" t="s">
        <v>168</v>
      </c>
      <c r="D60" t="s">
        <v>123</v>
      </c>
      <c r="E60" t="s">
        <v>42</v>
      </c>
      <c r="F60">
        <v>14.8</v>
      </c>
      <c r="G60" s="27">
        <v>1494.4625407166125</v>
      </c>
    </row>
    <row r="61" spans="1:7" x14ac:dyDescent="0.25">
      <c r="B61" t="s">
        <v>96</v>
      </c>
      <c r="F61">
        <v>198268.46000000002</v>
      </c>
      <c r="G61" s="27">
        <v>315339.51140065154</v>
      </c>
    </row>
    <row r="62" spans="1:7" x14ac:dyDescent="0.25">
      <c r="B62" t="s">
        <v>24</v>
      </c>
      <c r="C62" t="s">
        <v>26</v>
      </c>
      <c r="D62" t="s">
        <v>19</v>
      </c>
      <c r="E62" t="s">
        <v>187</v>
      </c>
      <c r="F62">
        <v>500</v>
      </c>
      <c r="G62" s="27">
        <v>170</v>
      </c>
    </row>
    <row r="63" spans="1:7" x14ac:dyDescent="0.25">
      <c r="B63" t="s">
        <v>97</v>
      </c>
      <c r="F63">
        <v>500</v>
      </c>
      <c r="G63" s="27">
        <v>170</v>
      </c>
    </row>
    <row r="64" spans="1:7" x14ac:dyDescent="0.25">
      <c r="A64" t="s">
        <v>84</v>
      </c>
      <c r="F64" s="40">
        <v>198768.46000000002</v>
      </c>
      <c r="G64" s="27">
        <v>315509.51140065154</v>
      </c>
    </row>
    <row r="65" spans="1:7" x14ac:dyDescent="0.25">
      <c r="G65" s="27"/>
    </row>
    <row r="66" spans="1:7" x14ac:dyDescent="0.25">
      <c r="A66" t="s">
        <v>53</v>
      </c>
      <c r="F66" s="41">
        <v>226317.46000000002</v>
      </c>
      <c r="G66" s="27">
        <v>372831.72320065147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E4EB4-D3AE-49B9-BAC3-593CF99B10DB}">
  <dimension ref="A1:H63"/>
  <sheetViews>
    <sheetView zoomScale="86" zoomScaleNormal="86" workbookViewId="0">
      <selection activeCell="H9" sqref="H9"/>
    </sheetView>
  </sheetViews>
  <sheetFormatPr baseColWidth="10" defaultRowHeight="15" x14ac:dyDescent="0.25"/>
  <cols>
    <col min="1" max="1" width="27.85546875" customWidth="1"/>
    <col min="2" max="2" width="28.42578125" customWidth="1"/>
    <col min="3" max="3" width="10.28515625" bestFit="1" customWidth="1"/>
    <col min="4" max="4" width="17.42578125" bestFit="1" customWidth="1"/>
    <col min="5" max="6" width="16.85546875" bestFit="1" customWidth="1"/>
    <col min="7" max="7" width="19.28515625" bestFit="1" customWidth="1"/>
    <col min="8" max="8" width="31.5703125" bestFit="1" customWidth="1"/>
    <col min="9" max="9" width="32.85546875" bestFit="1" customWidth="1"/>
    <col min="10" max="10" width="9.42578125" bestFit="1" customWidth="1"/>
    <col min="11" max="11" width="17.42578125" bestFit="1" customWidth="1"/>
  </cols>
  <sheetData>
    <row r="1" spans="1:5" ht="35.25" customHeight="1" x14ac:dyDescent="0.25"/>
    <row r="2" spans="1:5" ht="35.25" customHeight="1" x14ac:dyDescent="0.25"/>
    <row r="3" spans="1:5" x14ac:dyDescent="0.25">
      <c r="A3" s="12" t="s">
        <v>31</v>
      </c>
    </row>
    <row r="4" spans="1:5" x14ac:dyDescent="0.25">
      <c r="A4" s="6" t="s">
        <v>11</v>
      </c>
      <c r="B4" s="6" t="s">
        <v>5</v>
      </c>
      <c r="C4" s="6" t="s">
        <v>4</v>
      </c>
      <c r="D4" t="s">
        <v>57</v>
      </c>
      <c r="E4" s="27" t="s">
        <v>56</v>
      </c>
    </row>
    <row r="5" spans="1:5" x14ac:dyDescent="0.25">
      <c r="A5" t="s">
        <v>30</v>
      </c>
      <c r="B5" t="s">
        <v>26</v>
      </c>
      <c r="C5" t="s">
        <v>19</v>
      </c>
      <c r="D5">
        <v>7000</v>
      </c>
      <c r="E5" s="27">
        <v>2380</v>
      </c>
    </row>
    <row r="6" spans="1:5" x14ac:dyDescent="0.25">
      <c r="B6" t="s">
        <v>39</v>
      </c>
      <c r="C6" t="s">
        <v>123</v>
      </c>
      <c r="D6">
        <v>72.06</v>
      </c>
      <c r="E6" s="27">
        <v>4741.4071661237786</v>
      </c>
    </row>
    <row r="7" spans="1:5" x14ac:dyDescent="0.25">
      <c r="B7" t="s">
        <v>28</v>
      </c>
      <c r="C7" t="s">
        <v>19</v>
      </c>
      <c r="D7">
        <v>37000</v>
      </c>
      <c r="E7" s="27">
        <v>44400</v>
      </c>
    </row>
    <row r="8" spans="1:5" x14ac:dyDescent="0.25">
      <c r="A8" t="s">
        <v>127</v>
      </c>
      <c r="D8">
        <v>44072.06</v>
      </c>
      <c r="E8" s="27">
        <v>51521.407166123776</v>
      </c>
    </row>
    <row r="9" spans="1:5" x14ac:dyDescent="0.25">
      <c r="A9" t="s">
        <v>23</v>
      </c>
      <c r="B9" t="s">
        <v>27</v>
      </c>
      <c r="C9" t="s">
        <v>19</v>
      </c>
      <c r="D9">
        <v>8670</v>
      </c>
      <c r="E9" s="27">
        <v>13872</v>
      </c>
    </row>
    <row r="10" spans="1:5" x14ac:dyDescent="0.25">
      <c r="B10" t="s">
        <v>26</v>
      </c>
      <c r="C10" t="s">
        <v>19</v>
      </c>
      <c r="D10">
        <v>10000</v>
      </c>
      <c r="E10" s="27">
        <v>3400.0000000000005</v>
      </c>
    </row>
    <row r="11" spans="1:5" x14ac:dyDescent="0.25">
      <c r="B11" t="s">
        <v>20</v>
      </c>
      <c r="C11" t="s">
        <v>19</v>
      </c>
      <c r="D11">
        <v>5000</v>
      </c>
      <c r="E11" s="27">
        <v>12250</v>
      </c>
    </row>
    <row r="12" spans="1:5" x14ac:dyDescent="0.25">
      <c r="B12" t="s">
        <v>44</v>
      </c>
      <c r="C12" t="s">
        <v>19</v>
      </c>
      <c r="D12">
        <v>4250</v>
      </c>
      <c r="E12" s="27">
        <v>3612.5</v>
      </c>
    </row>
    <row r="13" spans="1:5" x14ac:dyDescent="0.25">
      <c r="B13" t="s">
        <v>39</v>
      </c>
      <c r="C13" t="s">
        <v>123</v>
      </c>
      <c r="D13">
        <v>203.38</v>
      </c>
      <c r="E13" s="27">
        <v>13382.006514657982</v>
      </c>
    </row>
    <row r="14" spans="1:5" x14ac:dyDescent="0.25">
      <c r="B14" t="s">
        <v>43</v>
      </c>
      <c r="C14" t="s">
        <v>123</v>
      </c>
      <c r="D14">
        <v>57.08</v>
      </c>
      <c r="E14" s="27">
        <v>5113.0293159609118</v>
      </c>
    </row>
    <row r="15" spans="1:5" x14ac:dyDescent="0.25">
      <c r="B15" t="s">
        <v>48</v>
      </c>
      <c r="C15" t="s">
        <v>19</v>
      </c>
      <c r="D15">
        <v>2000</v>
      </c>
      <c r="E15" s="27">
        <v>5900</v>
      </c>
    </row>
    <row r="16" spans="1:5" x14ac:dyDescent="0.25">
      <c r="B16" t="s">
        <v>46</v>
      </c>
      <c r="C16" t="s">
        <v>19</v>
      </c>
      <c r="D16">
        <v>774</v>
      </c>
      <c r="E16" s="27">
        <v>1637.5518</v>
      </c>
    </row>
    <row r="17" spans="1:5" x14ac:dyDescent="0.25">
      <c r="A17" t="s">
        <v>128</v>
      </c>
      <c r="D17">
        <v>30954.460000000003</v>
      </c>
      <c r="E17" s="27">
        <v>59167.087630618895</v>
      </c>
    </row>
    <row r="18" spans="1:5" x14ac:dyDescent="0.25">
      <c r="A18" t="s">
        <v>25</v>
      </c>
      <c r="B18" t="s">
        <v>27</v>
      </c>
      <c r="C18" t="s">
        <v>19</v>
      </c>
      <c r="D18">
        <v>12000</v>
      </c>
      <c r="E18" s="27">
        <v>19200</v>
      </c>
    </row>
    <row r="19" spans="1:5" x14ac:dyDescent="0.25">
      <c r="B19" t="s">
        <v>35</v>
      </c>
      <c r="C19" t="s">
        <v>19</v>
      </c>
      <c r="D19">
        <v>200</v>
      </c>
      <c r="E19" s="27">
        <v>819.99999999999989</v>
      </c>
    </row>
    <row r="20" spans="1:5" x14ac:dyDescent="0.25">
      <c r="B20" t="s">
        <v>36</v>
      </c>
      <c r="C20" t="s">
        <v>19</v>
      </c>
      <c r="D20">
        <v>3000</v>
      </c>
      <c r="E20" s="27">
        <v>4650</v>
      </c>
    </row>
    <row r="21" spans="1:5" x14ac:dyDescent="0.25">
      <c r="B21" t="s">
        <v>26</v>
      </c>
      <c r="C21" t="s">
        <v>19</v>
      </c>
      <c r="D21">
        <v>14000</v>
      </c>
      <c r="E21" s="27">
        <v>4760</v>
      </c>
    </row>
    <row r="22" spans="1:5" x14ac:dyDescent="0.25">
      <c r="B22" t="s">
        <v>20</v>
      </c>
      <c r="C22" t="s">
        <v>19</v>
      </c>
      <c r="D22">
        <v>1000</v>
      </c>
      <c r="E22" s="27">
        <v>2450</v>
      </c>
    </row>
    <row r="23" spans="1:5" x14ac:dyDescent="0.25">
      <c r="B23" t="s">
        <v>50</v>
      </c>
      <c r="C23" t="s">
        <v>19</v>
      </c>
      <c r="D23">
        <v>500</v>
      </c>
      <c r="E23" s="27">
        <v>1400</v>
      </c>
    </row>
    <row r="24" spans="1:5" x14ac:dyDescent="0.25">
      <c r="B24" t="s">
        <v>44</v>
      </c>
      <c r="C24" t="s">
        <v>19</v>
      </c>
      <c r="D24">
        <v>2500</v>
      </c>
      <c r="E24" s="27">
        <v>2125</v>
      </c>
    </row>
    <row r="25" spans="1:5" x14ac:dyDescent="0.25">
      <c r="B25" t="s">
        <v>39</v>
      </c>
      <c r="C25" t="s">
        <v>123</v>
      </c>
      <c r="D25">
        <v>360.96000000000004</v>
      </c>
      <c r="E25" s="27">
        <v>23750.462540716617</v>
      </c>
    </row>
    <row r="26" spans="1:5" x14ac:dyDescent="0.25">
      <c r="B26" t="s">
        <v>43</v>
      </c>
      <c r="C26" t="s">
        <v>123</v>
      </c>
      <c r="D26">
        <v>57.6</v>
      </c>
      <c r="E26" s="27">
        <v>5159.6091205211724</v>
      </c>
    </row>
    <row r="27" spans="1:5" x14ac:dyDescent="0.25">
      <c r="B27" t="s">
        <v>46</v>
      </c>
      <c r="C27" t="s">
        <v>19</v>
      </c>
      <c r="D27">
        <v>800</v>
      </c>
      <c r="E27" s="27">
        <v>1692.56</v>
      </c>
    </row>
    <row r="28" spans="1:5" x14ac:dyDescent="0.25">
      <c r="B28" t="s">
        <v>28</v>
      </c>
      <c r="C28" t="s">
        <v>19</v>
      </c>
      <c r="D28">
        <v>28800</v>
      </c>
      <c r="E28" s="27">
        <v>34560</v>
      </c>
    </row>
    <row r="29" spans="1:5" x14ac:dyDescent="0.25">
      <c r="B29" t="s">
        <v>41</v>
      </c>
      <c r="C29" t="s">
        <v>19</v>
      </c>
      <c r="D29">
        <v>475</v>
      </c>
      <c r="E29" s="27">
        <v>2137.5</v>
      </c>
    </row>
    <row r="30" spans="1:5" x14ac:dyDescent="0.25">
      <c r="A30" t="s">
        <v>98</v>
      </c>
      <c r="D30">
        <v>63693.56</v>
      </c>
      <c r="E30" s="27">
        <v>102705.13166123779</v>
      </c>
    </row>
    <row r="31" spans="1:5" x14ac:dyDescent="0.25">
      <c r="A31" t="s">
        <v>34</v>
      </c>
      <c r="B31" t="s">
        <v>27</v>
      </c>
      <c r="C31" t="s">
        <v>19</v>
      </c>
      <c r="D31">
        <v>4800</v>
      </c>
      <c r="E31" s="27">
        <v>7680</v>
      </c>
    </row>
    <row r="32" spans="1:5" x14ac:dyDescent="0.25">
      <c r="B32" t="s">
        <v>26</v>
      </c>
      <c r="C32" t="s">
        <v>19</v>
      </c>
      <c r="D32">
        <v>12000</v>
      </c>
      <c r="E32" s="27">
        <v>4080.0000000000005</v>
      </c>
    </row>
    <row r="33" spans="1:8" x14ac:dyDescent="0.25">
      <c r="B33" t="s">
        <v>50</v>
      </c>
      <c r="C33" t="s">
        <v>19</v>
      </c>
      <c r="D33">
        <v>400</v>
      </c>
      <c r="E33" s="27">
        <v>1120</v>
      </c>
    </row>
    <row r="34" spans="1:8" x14ac:dyDescent="0.25">
      <c r="B34" t="s">
        <v>44</v>
      </c>
      <c r="C34" t="s">
        <v>19</v>
      </c>
      <c r="D34">
        <v>500</v>
      </c>
      <c r="E34" s="27">
        <v>425</v>
      </c>
    </row>
    <row r="35" spans="1:8" x14ac:dyDescent="0.25">
      <c r="B35" t="s">
        <v>39</v>
      </c>
      <c r="C35" t="s">
        <v>123</v>
      </c>
      <c r="D35">
        <v>288.98</v>
      </c>
      <c r="E35" s="27">
        <v>19014.319218241046</v>
      </c>
    </row>
    <row r="36" spans="1:8" x14ac:dyDescent="0.25">
      <c r="B36" t="s">
        <v>43</v>
      </c>
      <c r="C36" t="s">
        <v>123</v>
      </c>
      <c r="D36">
        <v>55.6</v>
      </c>
      <c r="E36" s="27">
        <v>4980.4560260586322</v>
      </c>
    </row>
    <row r="37" spans="1:8" x14ac:dyDescent="0.25">
      <c r="B37" t="s">
        <v>28</v>
      </c>
      <c r="C37" t="s">
        <v>19</v>
      </c>
      <c r="D37">
        <v>42000</v>
      </c>
      <c r="E37" s="27">
        <v>50400</v>
      </c>
    </row>
    <row r="38" spans="1:8" x14ac:dyDescent="0.25">
      <c r="B38" t="s">
        <v>41</v>
      </c>
      <c r="C38" t="s">
        <v>19</v>
      </c>
      <c r="D38">
        <v>400</v>
      </c>
      <c r="E38" s="27">
        <v>1800</v>
      </c>
    </row>
    <row r="39" spans="1:8" x14ac:dyDescent="0.25">
      <c r="A39" t="s">
        <v>100</v>
      </c>
      <c r="D39">
        <v>60444.58</v>
      </c>
      <c r="E39" s="27">
        <v>89499.775244299672</v>
      </c>
    </row>
    <row r="40" spans="1:8" x14ac:dyDescent="0.25">
      <c r="A40" t="s">
        <v>42</v>
      </c>
      <c r="B40" t="s">
        <v>27</v>
      </c>
      <c r="C40" t="s">
        <v>19</v>
      </c>
      <c r="D40">
        <v>6000</v>
      </c>
      <c r="E40" s="27">
        <v>9600</v>
      </c>
    </row>
    <row r="41" spans="1:8" x14ac:dyDescent="0.25">
      <c r="B41" t="s">
        <v>26</v>
      </c>
      <c r="C41" t="s">
        <v>19</v>
      </c>
      <c r="D41">
        <v>3000</v>
      </c>
      <c r="E41" s="27">
        <v>1020.0000000000001</v>
      </c>
    </row>
    <row r="42" spans="1:8" x14ac:dyDescent="0.25">
      <c r="B42" t="s">
        <v>49</v>
      </c>
      <c r="C42" t="s">
        <v>19</v>
      </c>
      <c r="D42">
        <v>335</v>
      </c>
      <c r="E42" s="27">
        <v>1055.25</v>
      </c>
    </row>
    <row r="43" spans="1:8" x14ac:dyDescent="0.25">
      <c r="B43" t="s">
        <v>50</v>
      </c>
      <c r="C43" t="s">
        <v>19</v>
      </c>
      <c r="D43">
        <v>1500</v>
      </c>
      <c r="E43" s="27">
        <v>4200</v>
      </c>
    </row>
    <row r="44" spans="1:8" x14ac:dyDescent="0.25">
      <c r="B44" t="s">
        <v>44</v>
      </c>
      <c r="C44" t="s">
        <v>19</v>
      </c>
      <c r="D44">
        <v>1000</v>
      </c>
      <c r="E44" s="27">
        <v>850</v>
      </c>
    </row>
    <row r="45" spans="1:8" x14ac:dyDescent="0.25">
      <c r="B45" t="s">
        <v>39</v>
      </c>
      <c r="C45" t="s">
        <v>123</v>
      </c>
      <c r="D45">
        <v>212.8</v>
      </c>
      <c r="E45" s="27">
        <v>14001.824104234529</v>
      </c>
    </row>
    <row r="46" spans="1:8" x14ac:dyDescent="0.25">
      <c r="B46" t="s">
        <v>43</v>
      </c>
      <c r="C46" t="s">
        <v>123</v>
      </c>
      <c r="D46">
        <v>14.8</v>
      </c>
      <c r="E46" s="27">
        <v>1325.7328990228013</v>
      </c>
    </row>
    <row r="47" spans="1:8" x14ac:dyDescent="0.25">
      <c r="B47" t="s">
        <v>48</v>
      </c>
      <c r="C47" t="s">
        <v>19</v>
      </c>
      <c r="D47">
        <v>100</v>
      </c>
      <c r="E47" s="27">
        <v>295</v>
      </c>
      <c r="H47" t="s">
        <v>95</v>
      </c>
    </row>
    <row r="48" spans="1:8" x14ac:dyDescent="0.25">
      <c r="B48" t="s">
        <v>46</v>
      </c>
      <c r="C48" t="s">
        <v>19</v>
      </c>
      <c r="D48">
        <v>1000</v>
      </c>
      <c r="E48" s="27">
        <v>2115.6999999999998</v>
      </c>
    </row>
    <row r="49" spans="1:5" x14ac:dyDescent="0.25">
      <c r="B49" t="s">
        <v>28</v>
      </c>
      <c r="C49" t="s">
        <v>19</v>
      </c>
      <c r="D49">
        <v>2400</v>
      </c>
      <c r="E49" s="27">
        <v>2880</v>
      </c>
    </row>
    <row r="50" spans="1:5" x14ac:dyDescent="0.25">
      <c r="B50" t="s">
        <v>41</v>
      </c>
      <c r="C50" t="s">
        <v>19</v>
      </c>
      <c r="D50">
        <v>650</v>
      </c>
      <c r="E50" s="27">
        <v>2925</v>
      </c>
    </row>
    <row r="51" spans="1:5" x14ac:dyDescent="0.25">
      <c r="B51" t="s">
        <v>168</v>
      </c>
      <c r="C51" t="s">
        <v>123</v>
      </c>
      <c r="D51">
        <v>14.8</v>
      </c>
      <c r="E51" s="27">
        <v>1494.4625407166125</v>
      </c>
    </row>
    <row r="52" spans="1:5" x14ac:dyDescent="0.25">
      <c r="A52" t="s">
        <v>101</v>
      </c>
      <c r="D52">
        <v>16227.399999999998</v>
      </c>
      <c r="E52" s="27">
        <v>41762.969543973937</v>
      </c>
    </row>
    <row r="53" spans="1:5" x14ac:dyDescent="0.25">
      <c r="A53" t="s">
        <v>45</v>
      </c>
      <c r="B53" t="s">
        <v>49</v>
      </c>
      <c r="C53" t="s">
        <v>19</v>
      </c>
      <c r="D53">
        <v>335</v>
      </c>
      <c r="E53" s="27">
        <v>1055.25</v>
      </c>
    </row>
    <row r="54" spans="1:5" x14ac:dyDescent="0.25">
      <c r="B54" t="s">
        <v>47</v>
      </c>
      <c r="C54" t="s">
        <v>19</v>
      </c>
      <c r="D54">
        <v>1000</v>
      </c>
      <c r="E54" s="27">
        <v>12700</v>
      </c>
    </row>
    <row r="55" spans="1:5" x14ac:dyDescent="0.25">
      <c r="B55" t="s">
        <v>44</v>
      </c>
      <c r="C55" t="s">
        <v>19</v>
      </c>
      <c r="D55">
        <v>4000</v>
      </c>
      <c r="E55" s="27">
        <v>3400</v>
      </c>
    </row>
    <row r="56" spans="1:5" x14ac:dyDescent="0.25">
      <c r="B56" t="s">
        <v>39</v>
      </c>
      <c r="C56" t="s">
        <v>123</v>
      </c>
      <c r="D56">
        <v>29.64</v>
      </c>
      <c r="E56" s="27">
        <v>1950.254071661238</v>
      </c>
    </row>
    <row r="57" spans="1:5" x14ac:dyDescent="0.25">
      <c r="B57" t="s">
        <v>46</v>
      </c>
      <c r="C57" t="s">
        <v>19</v>
      </c>
      <c r="D57">
        <v>1000</v>
      </c>
      <c r="E57" s="27">
        <v>2115.6999999999998</v>
      </c>
    </row>
    <row r="58" spans="1:5" x14ac:dyDescent="0.25">
      <c r="A58" t="s">
        <v>175</v>
      </c>
      <c r="D58">
        <v>6364.64</v>
      </c>
      <c r="E58" s="27">
        <v>21221.204071661239</v>
      </c>
    </row>
    <row r="59" spans="1:5" x14ac:dyDescent="0.25">
      <c r="A59" t="s">
        <v>99</v>
      </c>
      <c r="B59" t="s">
        <v>49</v>
      </c>
      <c r="C59" t="s">
        <v>19</v>
      </c>
      <c r="D59">
        <v>30</v>
      </c>
      <c r="E59" s="27">
        <v>94.5</v>
      </c>
    </row>
    <row r="60" spans="1:5" x14ac:dyDescent="0.25">
      <c r="A60" t="s">
        <v>185</v>
      </c>
      <c r="D60">
        <v>30</v>
      </c>
      <c r="E60" s="27">
        <v>94.5</v>
      </c>
    </row>
    <row r="61" spans="1:5" x14ac:dyDescent="0.25">
      <c r="A61" t="s">
        <v>184</v>
      </c>
      <c r="B61" t="s">
        <v>39</v>
      </c>
      <c r="C61" t="s">
        <v>123</v>
      </c>
      <c r="D61">
        <v>30.76</v>
      </c>
      <c r="E61" s="27">
        <v>2023.9478827361565</v>
      </c>
    </row>
    <row r="62" spans="1:5" x14ac:dyDescent="0.25">
      <c r="A62" t="s">
        <v>186</v>
      </c>
      <c r="D62">
        <v>30.76</v>
      </c>
      <c r="E62" s="27">
        <v>2023.9478827361565</v>
      </c>
    </row>
    <row r="63" spans="1:5" x14ac:dyDescent="0.25">
      <c r="A63" t="s">
        <v>53</v>
      </c>
      <c r="D63" s="41">
        <v>221817.46000000002</v>
      </c>
      <c r="E63" s="27">
        <v>367996.02320065151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4EC19-BCFB-493D-9865-76B1FA1C9C55}">
  <dimension ref="B2:H15"/>
  <sheetViews>
    <sheetView workbookViewId="0">
      <selection activeCell="J10" sqref="J10"/>
    </sheetView>
  </sheetViews>
  <sheetFormatPr baseColWidth="10" defaultRowHeight="15" x14ac:dyDescent="0.25"/>
  <cols>
    <col min="2" max="2" width="10.85546875" bestFit="1" customWidth="1"/>
    <col min="3" max="3" width="9.42578125" bestFit="1" customWidth="1"/>
    <col min="4" max="4" width="18" bestFit="1" customWidth="1"/>
    <col min="5" max="5" width="8" bestFit="1" customWidth="1"/>
    <col min="6" max="6" width="13" bestFit="1" customWidth="1"/>
    <col min="7" max="8" width="14.5703125" bestFit="1" customWidth="1"/>
  </cols>
  <sheetData>
    <row r="2" spans="2:8" x14ac:dyDescent="0.25">
      <c r="B2" s="38" t="s">
        <v>1</v>
      </c>
      <c r="C2" s="38" t="s">
        <v>105</v>
      </c>
      <c r="D2" s="38" t="s">
        <v>111</v>
      </c>
      <c r="E2" s="38" t="s">
        <v>106</v>
      </c>
      <c r="F2" s="38" t="s">
        <v>9</v>
      </c>
      <c r="G2" s="38" t="s">
        <v>108</v>
      </c>
      <c r="H2" s="38" t="s">
        <v>109</v>
      </c>
    </row>
    <row r="3" spans="2:8" x14ac:dyDescent="0.25">
      <c r="B3" s="39">
        <v>46037</v>
      </c>
      <c r="C3" s="3" t="s">
        <v>107</v>
      </c>
      <c r="D3" s="3" t="s">
        <v>112</v>
      </c>
      <c r="E3" s="3">
        <v>72.06</v>
      </c>
      <c r="F3" s="5">
        <v>101000</v>
      </c>
      <c r="G3" s="5">
        <f t="shared" ref="G3:G15" si="0">F3*E3</f>
        <v>7278060</v>
      </c>
      <c r="H3" s="5">
        <f t="shared" ref="H3:H15" si="1">G3*1.21</f>
        <v>8806452.5999999996</v>
      </c>
    </row>
    <row r="4" spans="2:8" x14ac:dyDescent="0.25">
      <c r="B4" s="39">
        <v>46051</v>
      </c>
      <c r="C4" s="3" t="s">
        <v>107</v>
      </c>
      <c r="D4" s="3" t="s">
        <v>113</v>
      </c>
      <c r="E4" s="3">
        <v>73.56</v>
      </c>
      <c r="F4" s="5">
        <v>101000</v>
      </c>
      <c r="G4" s="5">
        <f t="shared" si="0"/>
        <v>7429560</v>
      </c>
      <c r="H4" s="5">
        <f t="shared" si="1"/>
        <v>8989767.5999999996</v>
      </c>
    </row>
    <row r="5" spans="2:8" x14ac:dyDescent="0.25">
      <c r="B5" s="39">
        <v>46062</v>
      </c>
      <c r="C5" s="3" t="s">
        <v>107</v>
      </c>
      <c r="D5" s="3" t="s">
        <v>114</v>
      </c>
      <c r="E5" s="3">
        <v>26.54</v>
      </c>
      <c r="F5" s="5">
        <v>101000</v>
      </c>
      <c r="G5" s="5">
        <f t="shared" si="0"/>
        <v>2680540</v>
      </c>
      <c r="H5" s="5">
        <f t="shared" si="1"/>
        <v>3243453.4</v>
      </c>
    </row>
    <row r="6" spans="2:8" x14ac:dyDescent="0.25">
      <c r="B6" s="39">
        <v>46062</v>
      </c>
      <c r="C6" s="3" t="s">
        <v>110</v>
      </c>
      <c r="D6" s="3" t="s">
        <v>114</v>
      </c>
      <c r="E6" s="3">
        <v>28.8</v>
      </c>
      <c r="F6" s="5">
        <v>137500</v>
      </c>
      <c r="G6" s="5">
        <f t="shared" si="0"/>
        <v>3960000</v>
      </c>
      <c r="H6" s="5">
        <f t="shared" si="1"/>
        <v>4791600</v>
      </c>
    </row>
    <row r="7" spans="2:8" x14ac:dyDescent="0.25">
      <c r="B7" s="39">
        <v>46072</v>
      </c>
      <c r="C7" s="3" t="s">
        <v>107</v>
      </c>
      <c r="D7" s="3" t="s">
        <v>115</v>
      </c>
      <c r="E7" s="3">
        <v>33.200000000000003</v>
      </c>
      <c r="F7" s="5">
        <v>101000</v>
      </c>
      <c r="G7" s="5">
        <f t="shared" si="0"/>
        <v>3353200.0000000005</v>
      </c>
      <c r="H7" s="5">
        <f t="shared" si="1"/>
        <v>4057372.0000000005</v>
      </c>
    </row>
    <row r="8" spans="2:8" x14ac:dyDescent="0.25">
      <c r="B8" s="39">
        <v>46077</v>
      </c>
      <c r="C8" s="3" t="s">
        <v>107</v>
      </c>
      <c r="D8" s="3" t="s">
        <v>116</v>
      </c>
      <c r="E8" s="3">
        <v>34.200000000000003</v>
      </c>
      <c r="F8" s="5">
        <v>101000</v>
      </c>
      <c r="G8" s="5">
        <f t="shared" si="0"/>
        <v>3454200.0000000005</v>
      </c>
      <c r="H8" s="5">
        <f t="shared" si="1"/>
        <v>4179582.0000000005</v>
      </c>
    </row>
    <row r="9" spans="2:8" x14ac:dyDescent="0.25">
      <c r="B9" s="39">
        <v>46081</v>
      </c>
      <c r="C9" s="3" t="s">
        <v>110</v>
      </c>
      <c r="D9" s="3" t="s">
        <v>117</v>
      </c>
      <c r="E9" s="3">
        <v>28.28</v>
      </c>
      <c r="F9" s="5">
        <v>137500</v>
      </c>
      <c r="G9" s="5">
        <f t="shared" si="0"/>
        <v>3888500</v>
      </c>
      <c r="H9" s="5">
        <f t="shared" si="1"/>
        <v>4705085</v>
      </c>
    </row>
    <row r="10" spans="2:8" x14ac:dyDescent="0.25">
      <c r="B10" s="39">
        <v>46081</v>
      </c>
      <c r="C10" s="3" t="s">
        <v>107</v>
      </c>
      <c r="D10" s="3" t="s">
        <v>117</v>
      </c>
      <c r="E10" s="3">
        <v>35.880000000000003</v>
      </c>
      <c r="F10" s="5">
        <v>101000</v>
      </c>
      <c r="G10" s="5">
        <f t="shared" si="0"/>
        <v>3623880.0000000005</v>
      </c>
      <c r="H10" s="5">
        <f t="shared" si="1"/>
        <v>4384894.8000000007</v>
      </c>
    </row>
    <row r="11" spans="2:8" x14ac:dyDescent="0.25">
      <c r="B11" s="39">
        <v>46085</v>
      </c>
      <c r="C11" s="3" t="s">
        <v>107</v>
      </c>
      <c r="D11" s="3" t="s">
        <v>118</v>
      </c>
      <c r="E11" s="3">
        <v>34.299999999999997</v>
      </c>
      <c r="F11" s="5">
        <v>101000</v>
      </c>
      <c r="G11" s="5">
        <f t="shared" si="0"/>
        <v>3464299.9999999995</v>
      </c>
      <c r="H11" s="5">
        <f t="shared" si="1"/>
        <v>4191802.9999999995</v>
      </c>
    </row>
    <row r="12" spans="2:8" x14ac:dyDescent="0.25">
      <c r="B12" s="39">
        <v>46091</v>
      </c>
      <c r="C12" s="3" t="s">
        <v>107</v>
      </c>
      <c r="D12" s="3" t="s">
        <v>119</v>
      </c>
      <c r="E12" s="3">
        <v>39.299999999999997</v>
      </c>
      <c r="F12" s="5">
        <v>101000</v>
      </c>
      <c r="G12" s="5">
        <f t="shared" si="0"/>
        <v>3969299.9999999995</v>
      </c>
      <c r="H12" s="5">
        <f t="shared" si="1"/>
        <v>4802852.9999999991</v>
      </c>
    </row>
    <row r="13" spans="2:8" x14ac:dyDescent="0.25">
      <c r="B13" s="39">
        <v>46092</v>
      </c>
      <c r="C13" s="3" t="s">
        <v>110</v>
      </c>
      <c r="D13" s="3" t="s">
        <v>120</v>
      </c>
      <c r="E13" s="3">
        <v>28.8</v>
      </c>
      <c r="F13" s="5">
        <v>137500</v>
      </c>
      <c r="G13" s="5">
        <f t="shared" si="0"/>
        <v>3960000</v>
      </c>
      <c r="H13" s="5">
        <f t="shared" si="1"/>
        <v>4791600</v>
      </c>
    </row>
    <row r="14" spans="2:8" x14ac:dyDescent="0.25">
      <c r="B14" s="39">
        <v>15.3</v>
      </c>
      <c r="C14" s="3" t="s">
        <v>107</v>
      </c>
      <c r="D14" s="3" t="s">
        <v>121</v>
      </c>
      <c r="E14" s="3">
        <v>27.96</v>
      </c>
      <c r="F14" s="5">
        <v>101000</v>
      </c>
      <c r="G14" s="5">
        <f t="shared" si="0"/>
        <v>2823960</v>
      </c>
      <c r="H14" s="5">
        <f t="shared" si="1"/>
        <v>3416991.6</v>
      </c>
    </row>
    <row r="15" spans="2:8" x14ac:dyDescent="0.25">
      <c r="B15" s="39">
        <v>46096</v>
      </c>
      <c r="C15" s="3" t="s">
        <v>107</v>
      </c>
      <c r="D15" s="3" t="s">
        <v>121</v>
      </c>
      <c r="E15" s="3">
        <v>30.58</v>
      </c>
      <c r="F15" s="5">
        <v>101000</v>
      </c>
      <c r="G15" s="5">
        <f t="shared" si="0"/>
        <v>3088580</v>
      </c>
      <c r="H15" s="5">
        <f t="shared" si="1"/>
        <v>3737181.8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AC1F-A306-46DB-8C79-17705808C90D}">
  <sheetPr>
    <pageSetUpPr fitToPage="1"/>
  </sheetPr>
  <dimension ref="A1:Q30"/>
  <sheetViews>
    <sheetView workbookViewId="0">
      <selection activeCell="B18" sqref="B18"/>
    </sheetView>
  </sheetViews>
  <sheetFormatPr baseColWidth="10" defaultRowHeight="15" x14ac:dyDescent="0.25"/>
  <cols>
    <col min="1" max="1" width="19.140625" bestFit="1" customWidth="1"/>
    <col min="2" max="2" width="26.7109375" customWidth="1"/>
    <col min="3" max="3" width="17" bestFit="1" customWidth="1"/>
    <col min="4" max="4" width="9.7109375" bestFit="1" customWidth="1"/>
    <col min="5" max="5" width="1.85546875" customWidth="1"/>
    <col min="6" max="6" width="6" bestFit="1" customWidth="1"/>
    <col min="7" max="7" width="9.42578125" bestFit="1" customWidth="1"/>
    <col min="8" max="8" width="10.28515625" bestFit="1" customWidth="1"/>
    <col min="9" max="9" width="3.140625" customWidth="1"/>
    <col min="10" max="14" width="8.7109375" customWidth="1"/>
    <col min="15" max="15" width="3.140625" customWidth="1"/>
    <col min="16" max="16" width="6" bestFit="1" customWidth="1"/>
    <col min="17" max="17" width="2" bestFit="1" customWidth="1"/>
  </cols>
  <sheetData>
    <row r="1" spans="1:17" x14ac:dyDescent="0.25">
      <c r="A1" s="9" t="s">
        <v>2</v>
      </c>
      <c r="B1" s="9" t="s">
        <v>58</v>
      </c>
      <c r="C1" s="9" t="s">
        <v>57</v>
      </c>
      <c r="D1" s="10" t="s">
        <v>4</v>
      </c>
      <c r="E1" s="3"/>
      <c r="F1" s="9" t="s">
        <v>59</v>
      </c>
      <c r="G1" s="9" t="s">
        <v>60</v>
      </c>
      <c r="H1" s="9" t="s">
        <v>24</v>
      </c>
      <c r="J1" s="10" t="s">
        <v>61</v>
      </c>
      <c r="K1" s="10" t="s">
        <v>62</v>
      </c>
      <c r="L1" s="10" t="s">
        <v>63</v>
      </c>
      <c r="M1" s="10" t="s">
        <v>64</v>
      </c>
      <c r="N1" s="10" t="s">
        <v>65</v>
      </c>
    </row>
    <row r="2" spans="1:17" x14ac:dyDescent="0.25">
      <c r="A2" t="s">
        <v>66</v>
      </c>
      <c r="B2" t="s">
        <v>67</v>
      </c>
      <c r="C2">
        <v>10</v>
      </c>
      <c r="F2">
        <v>10</v>
      </c>
      <c r="H2">
        <v>0</v>
      </c>
    </row>
    <row r="3" spans="1:17" x14ac:dyDescent="0.25">
      <c r="B3" t="s">
        <v>68</v>
      </c>
      <c r="C3">
        <v>6</v>
      </c>
      <c r="F3">
        <v>6</v>
      </c>
      <c r="H3">
        <v>0</v>
      </c>
    </row>
    <row r="4" spans="1:17" x14ac:dyDescent="0.25">
      <c r="B4" t="s">
        <v>69</v>
      </c>
      <c r="C4">
        <v>6</v>
      </c>
      <c r="F4">
        <v>6</v>
      </c>
      <c r="H4">
        <v>0</v>
      </c>
    </row>
    <row r="5" spans="1:17" x14ac:dyDescent="0.25">
      <c r="B5" t="s">
        <v>70</v>
      </c>
      <c r="C5">
        <v>2</v>
      </c>
      <c r="F5">
        <v>2</v>
      </c>
      <c r="H5">
        <v>0</v>
      </c>
    </row>
    <row r="6" spans="1:17" x14ac:dyDescent="0.25">
      <c r="B6" t="s">
        <v>71</v>
      </c>
      <c r="C6">
        <v>10</v>
      </c>
      <c r="F6">
        <v>10</v>
      </c>
      <c r="H6">
        <v>0</v>
      </c>
    </row>
    <row r="7" spans="1:17" x14ac:dyDescent="0.25">
      <c r="B7" t="s">
        <v>72</v>
      </c>
      <c r="C7">
        <v>10</v>
      </c>
      <c r="F7">
        <v>10</v>
      </c>
      <c r="H7">
        <v>0</v>
      </c>
    </row>
    <row r="8" spans="1:17" x14ac:dyDescent="0.25">
      <c r="B8" t="s">
        <v>73</v>
      </c>
      <c r="C8">
        <v>150</v>
      </c>
      <c r="H8">
        <v>150</v>
      </c>
    </row>
    <row r="9" spans="1:17" x14ac:dyDescent="0.25">
      <c r="B9" t="s">
        <v>74</v>
      </c>
      <c r="C9">
        <v>2</v>
      </c>
      <c r="H9">
        <v>2</v>
      </c>
    </row>
    <row r="10" spans="1:17" x14ac:dyDescent="0.25">
      <c r="B10" t="s">
        <v>75</v>
      </c>
      <c r="C10">
        <v>1</v>
      </c>
      <c r="F10">
        <v>1</v>
      </c>
      <c r="H10">
        <v>0</v>
      </c>
    </row>
    <row r="11" spans="1:17" x14ac:dyDescent="0.25">
      <c r="A11" s="9" t="s">
        <v>2</v>
      </c>
      <c r="B11" s="9" t="s">
        <v>58</v>
      </c>
      <c r="C11" s="9" t="s">
        <v>57</v>
      </c>
      <c r="D11" s="9" t="s">
        <v>4</v>
      </c>
      <c r="E11" s="3"/>
      <c r="F11" s="9" t="s">
        <v>59</v>
      </c>
      <c r="G11" s="9" t="s">
        <v>60</v>
      </c>
      <c r="H11" s="9" t="s">
        <v>24</v>
      </c>
      <c r="J11" s="10" t="s">
        <v>61</v>
      </c>
      <c r="K11" s="10" t="s">
        <v>62</v>
      </c>
      <c r="L11" s="10" t="s">
        <v>63</v>
      </c>
      <c r="M11" s="10" t="s">
        <v>64</v>
      </c>
      <c r="N11" s="10" t="s">
        <v>65</v>
      </c>
    </row>
    <row r="12" spans="1:17" x14ac:dyDescent="0.25">
      <c r="A12" t="s">
        <v>76</v>
      </c>
      <c r="B12" t="s">
        <v>27</v>
      </c>
      <c r="C12">
        <v>16500</v>
      </c>
      <c r="D12" t="s">
        <v>19</v>
      </c>
      <c r="G12">
        <v>7350</v>
      </c>
      <c r="H12">
        <v>9150</v>
      </c>
      <c r="J12">
        <f>H12/2</f>
        <v>4575</v>
      </c>
      <c r="K12">
        <f>H12/2</f>
        <v>4575</v>
      </c>
      <c r="P12">
        <v>7350</v>
      </c>
      <c r="Q12">
        <v>5</v>
      </c>
    </row>
    <row r="13" spans="1:17" x14ac:dyDescent="0.25">
      <c r="B13" t="s">
        <v>35</v>
      </c>
      <c r="C13">
        <v>200</v>
      </c>
      <c r="D13" t="s">
        <v>19</v>
      </c>
      <c r="H13">
        <v>200</v>
      </c>
      <c r="J13">
        <v>200</v>
      </c>
    </row>
    <row r="14" spans="1:17" x14ac:dyDescent="0.25">
      <c r="B14" t="s">
        <v>36</v>
      </c>
      <c r="C14">
        <v>3000</v>
      </c>
      <c r="D14" t="s">
        <v>19</v>
      </c>
      <c r="H14">
        <v>3000</v>
      </c>
      <c r="J14">
        <v>1500</v>
      </c>
      <c r="K14">
        <v>1500</v>
      </c>
    </row>
    <row r="15" spans="1:17" x14ac:dyDescent="0.25">
      <c r="B15" t="s">
        <v>77</v>
      </c>
      <c r="C15">
        <f>25000+8000</f>
        <v>33000</v>
      </c>
      <c r="D15" t="s">
        <v>19</v>
      </c>
      <c r="F15">
        <v>7000</v>
      </c>
      <c r="G15">
        <v>10000</v>
      </c>
      <c r="H15">
        <f>C15-(F15+G15)</f>
        <v>16000</v>
      </c>
      <c r="J15">
        <v>5000</v>
      </c>
      <c r="K15">
        <v>5000</v>
      </c>
      <c r="L15">
        <v>6000</v>
      </c>
      <c r="P15">
        <v>10000</v>
      </c>
      <c r="Q15">
        <v>8</v>
      </c>
    </row>
    <row r="16" spans="1:17" x14ac:dyDescent="0.25">
      <c r="B16" t="s">
        <v>20</v>
      </c>
      <c r="C16">
        <v>6000</v>
      </c>
      <c r="D16" t="s">
        <v>19</v>
      </c>
      <c r="G16">
        <v>5000</v>
      </c>
      <c r="H16">
        <v>1000</v>
      </c>
      <c r="K16">
        <v>1000</v>
      </c>
      <c r="P16">
        <v>5000</v>
      </c>
      <c r="Q16">
        <v>5</v>
      </c>
    </row>
    <row r="17" spans="1:17" x14ac:dyDescent="0.25">
      <c r="B17" t="s">
        <v>49</v>
      </c>
      <c r="C17">
        <v>1000</v>
      </c>
      <c r="D17" t="s">
        <v>19</v>
      </c>
      <c r="H17">
        <v>1000</v>
      </c>
      <c r="J17">
        <v>250</v>
      </c>
      <c r="K17">
        <v>250</v>
      </c>
      <c r="L17">
        <v>250</v>
      </c>
      <c r="M17">
        <v>250</v>
      </c>
    </row>
    <row r="18" spans="1:17" x14ac:dyDescent="0.25">
      <c r="B18" t="s">
        <v>47</v>
      </c>
      <c r="C18">
        <v>5000</v>
      </c>
      <c r="D18" t="s">
        <v>19</v>
      </c>
      <c r="H18">
        <v>5000</v>
      </c>
      <c r="J18">
        <v>1000</v>
      </c>
      <c r="K18">
        <v>1000</v>
      </c>
      <c r="L18">
        <v>1000</v>
      </c>
      <c r="M18">
        <v>1000</v>
      </c>
      <c r="N18">
        <v>1000</v>
      </c>
      <c r="P18">
        <v>3000</v>
      </c>
      <c r="Q18">
        <v>3</v>
      </c>
    </row>
    <row r="19" spans="1:17" x14ac:dyDescent="0.25">
      <c r="B19" t="s">
        <v>44</v>
      </c>
      <c r="C19">
        <v>15000</v>
      </c>
      <c r="D19" t="s">
        <v>19</v>
      </c>
      <c r="H19">
        <v>15000</v>
      </c>
      <c r="J19">
        <v>3000</v>
      </c>
      <c r="K19">
        <v>3000</v>
      </c>
      <c r="L19">
        <v>3000</v>
      </c>
      <c r="M19">
        <v>3000</v>
      </c>
      <c r="N19">
        <v>3000</v>
      </c>
      <c r="P19">
        <v>6000</v>
      </c>
      <c r="Q19">
        <v>6</v>
      </c>
    </row>
    <row r="20" spans="1:17" x14ac:dyDescent="0.25">
      <c r="B20" t="s">
        <v>48</v>
      </c>
      <c r="C20">
        <v>3750</v>
      </c>
      <c r="D20" t="s">
        <v>19</v>
      </c>
      <c r="H20">
        <v>3750</v>
      </c>
      <c r="J20">
        <v>937.5</v>
      </c>
      <c r="K20">
        <v>937.5</v>
      </c>
      <c r="L20">
        <v>937.5</v>
      </c>
      <c r="M20">
        <v>937.5</v>
      </c>
      <c r="P20">
        <v>2000</v>
      </c>
      <c r="Q20">
        <v>2</v>
      </c>
    </row>
    <row r="21" spans="1:17" x14ac:dyDescent="0.25">
      <c r="B21" t="s">
        <v>46</v>
      </c>
      <c r="C21">
        <v>7250</v>
      </c>
      <c r="D21" t="s">
        <v>19</v>
      </c>
      <c r="H21">
        <v>7250</v>
      </c>
      <c r="J21">
        <v>1450</v>
      </c>
      <c r="K21">
        <v>1450</v>
      </c>
      <c r="L21">
        <v>1450</v>
      </c>
      <c r="M21">
        <v>1450</v>
      </c>
      <c r="N21">
        <v>1450</v>
      </c>
    </row>
    <row r="22" spans="1:17" x14ac:dyDescent="0.25">
      <c r="B22" t="s">
        <v>78</v>
      </c>
      <c r="C22">
        <v>33</v>
      </c>
      <c r="D22" t="s">
        <v>79</v>
      </c>
      <c r="F22">
        <v>2</v>
      </c>
      <c r="H22">
        <v>31</v>
      </c>
      <c r="J22">
        <v>8</v>
      </c>
      <c r="K22">
        <v>8</v>
      </c>
      <c r="L22">
        <v>8</v>
      </c>
      <c r="M22">
        <v>7</v>
      </c>
    </row>
    <row r="23" spans="1:17" x14ac:dyDescent="0.25">
      <c r="B23" t="s">
        <v>80</v>
      </c>
      <c r="C23">
        <v>5.5</v>
      </c>
      <c r="D23" t="s">
        <v>79</v>
      </c>
      <c r="J23">
        <v>2</v>
      </c>
      <c r="K23">
        <v>2</v>
      </c>
      <c r="L23">
        <v>1.5</v>
      </c>
    </row>
    <row r="24" spans="1:17" x14ac:dyDescent="0.25">
      <c r="B24" t="s">
        <v>28</v>
      </c>
      <c r="C24">
        <v>85000</v>
      </c>
      <c r="D24" t="s">
        <v>19</v>
      </c>
      <c r="F24">
        <v>37000</v>
      </c>
      <c r="H24">
        <v>48000</v>
      </c>
      <c r="J24">
        <f>H24/2</f>
        <v>24000</v>
      </c>
      <c r="K24">
        <f>H24/2</f>
        <v>24000</v>
      </c>
    </row>
    <row r="25" spans="1:17" x14ac:dyDescent="0.25">
      <c r="B25" t="s">
        <v>41</v>
      </c>
      <c r="C25">
        <v>350</v>
      </c>
      <c r="D25" t="s">
        <v>19</v>
      </c>
      <c r="J25">
        <v>350</v>
      </c>
    </row>
    <row r="26" spans="1:17" x14ac:dyDescent="0.25">
      <c r="B26" t="s">
        <v>50</v>
      </c>
      <c r="C26">
        <v>500</v>
      </c>
      <c r="D26" t="s">
        <v>19</v>
      </c>
      <c r="K26">
        <v>500</v>
      </c>
    </row>
    <row r="27" spans="1:17" x14ac:dyDescent="0.25">
      <c r="A27" s="11"/>
      <c r="B27" s="11"/>
      <c r="C27" s="11"/>
      <c r="D27" s="11"/>
      <c r="F27" s="11"/>
      <c r="G27" s="11"/>
      <c r="H27" s="11"/>
      <c r="J27" s="11"/>
      <c r="K27" s="11"/>
      <c r="L27" s="11"/>
      <c r="M27" s="11"/>
      <c r="N27" s="11"/>
    </row>
    <row r="29" spans="1:17" x14ac:dyDescent="0.25">
      <c r="A29" s="9" t="s">
        <v>2</v>
      </c>
      <c r="B29" s="9" t="s">
        <v>58</v>
      </c>
      <c r="C29" s="9" t="s">
        <v>57</v>
      </c>
      <c r="D29" s="9" t="s">
        <v>4</v>
      </c>
      <c r="E29" s="3"/>
      <c r="F29" s="9" t="s">
        <v>59</v>
      </c>
      <c r="G29" s="9" t="s">
        <v>60</v>
      </c>
      <c r="H29" s="9" t="s">
        <v>24</v>
      </c>
      <c r="J29" s="10" t="s">
        <v>61</v>
      </c>
      <c r="K29" s="10" t="s">
        <v>62</v>
      </c>
      <c r="L29" s="10" t="s">
        <v>63</v>
      </c>
      <c r="M29" s="10" t="s">
        <v>64</v>
      </c>
      <c r="N29" s="10" t="s">
        <v>65</v>
      </c>
    </row>
    <row r="30" spans="1:17" x14ac:dyDescent="0.25">
      <c r="B30" t="s">
        <v>81</v>
      </c>
      <c r="C30">
        <v>8140</v>
      </c>
      <c r="D30" t="s">
        <v>82</v>
      </c>
      <c r="H30">
        <v>8140</v>
      </c>
    </row>
  </sheetData>
  <pageMargins left="0.25" right="0.25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5F7C-C288-4C49-82B0-B9226FD17FB6}">
  <dimension ref="A3:B25"/>
  <sheetViews>
    <sheetView workbookViewId="0">
      <selection activeCell="J26" sqref="J26"/>
    </sheetView>
  </sheetViews>
  <sheetFormatPr baseColWidth="10" defaultRowHeight="15" x14ac:dyDescent="0.25"/>
  <cols>
    <col min="1" max="1" width="32" bestFit="1" customWidth="1"/>
    <col min="2" max="2" width="17.42578125" bestFit="1" customWidth="1"/>
  </cols>
  <sheetData>
    <row r="3" spans="1:2" x14ac:dyDescent="0.25">
      <c r="A3" s="6" t="s">
        <v>91</v>
      </c>
      <c r="B3" t="s">
        <v>57</v>
      </c>
    </row>
    <row r="4" spans="1:2" x14ac:dyDescent="0.25">
      <c r="A4" s="20" t="s">
        <v>31</v>
      </c>
      <c r="B4">
        <v>221817.46</v>
      </c>
    </row>
    <row r="5" spans="1:2" x14ac:dyDescent="0.25">
      <c r="A5" s="21" t="s">
        <v>27</v>
      </c>
      <c r="B5">
        <v>31470</v>
      </c>
    </row>
    <row r="6" spans="1:2" x14ac:dyDescent="0.25">
      <c r="A6" s="21" t="s">
        <v>35</v>
      </c>
      <c r="B6">
        <v>200</v>
      </c>
    </row>
    <row r="7" spans="1:2" x14ac:dyDescent="0.25">
      <c r="A7" s="21" t="s">
        <v>36</v>
      </c>
      <c r="B7">
        <v>3000</v>
      </c>
    </row>
    <row r="8" spans="1:2" x14ac:dyDescent="0.25">
      <c r="A8" s="21" t="s">
        <v>26</v>
      </c>
      <c r="B8">
        <v>46000</v>
      </c>
    </row>
    <row r="9" spans="1:2" x14ac:dyDescent="0.25">
      <c r="A9" s="21" t="s">
        <v>20</v>
      </c>
      <c r="B9">
        <v>6000</v>
      </c>
    </row>
    <row r="10" spans="1:2" x14ac:dyDescent="0.25">
      <c r="A10" s="21" t="s">
        <v>49</v>
      </c>
      <c r="B10">
        <v>700</v>
      </c>
    </row>
    <row r="11" spans="1:2" x14ac:dyDescent="0.25">
      <c r="A11" s="21" t="s">
        <v>47</v>
      </c>
      <c r="B11">
        <v>1000</v>
      </c>
    </row>
    <row r="12" spans="1:2" x14ac:dyDescent="0.25">
      <c r="A12" s="21" t="s">
        <v>50</v>
      </c>
      <c r="B12">
        <v>2400</v>
      </c>
    </row>
    <row r="13" spans="1:2" x14ac:dyDescent="0.25">
      <c r="A13" s="21" t="s">
        <v>44</v>
      </c>
      <c r="B13">
        <v>12250</v>
      </c>
    </row>
    <row r="14" spans="1:2" x14ac:dyDescent="0.25">
      <c r="A14" s="21" t="s">
        <v>39</v>
      </c>
      <c r="B14">
        <v>1198.58</v>
      </c>
    </row>
    <row r="15" spans="1:2" x14ac:dyDescent="0.25">
      <c r="A15" s="21" t="s">
        <v>43</v>
      </c>
      <c r="B15">
        <v>185.08</v>
      </c>
    </row>
    <row r="16" spans="1:2" x14ac:dyDescent="0.25">
      <c r="A16" s="21" t="s">
        <v>48</v>
      </c>
      <c r="B16">
        <v>2100</v>
      </c>
    </row>
    <row r="17" spans="1:2" x14ac:dyDescent="0.25">
      <c r="A17" s="21" t="s">
        <v>46</v>
      </c>
      <c r="B17">
        <v>3574</v>
      </c>
    </row>
    <row r="18" spans="1:2" x14ac:dyDescent="0.25">
      <c r="A18" s="21" t="s">
        <v>28</v>
      </c>
      <c r="B18">
        <v>110200</v>
      </c>
    </row>
    <row r="19" spans="1:2" x14ac:dyDescent="0.25">
      <c r="A19" s="21" t="s">
        <v>41</v>
      </c>
      <c r="B19">
        <v>1525</v>
      </c>
    </row>
    <row r="20" spans="1:2" x14ac:dyDescent="0.25">
      <c r="A20" s="21" t="s">
        <v>168</v>
      </c>
      <c r="B20">
        <v>14.8</v>
      </c>
    </row>
    <row r="21" spans="1:2" x14ac:dyDescent="0.25">
      <c r="A21" s="20" t="s">
        <v>24</v>
      </c>
      <c r="B21">
        <v>4500</v>
      </c>
    </row>
    <row r="22" spans="1:2" x14ac:dyDescent="0.25">
      <c r="A22" s="21" t="s">
        <v>26</v>
      </c>
      <c r="B22">
        <v>500</v>
      </c>
    </row>
    <row r="23" spans="1:2" x14ac:dyDescent="0.25">
      <c r="A23" s="21" t="s">
        <v>44</v>
      </c>
      <c r="B23">
        <v>3000</v>
      </c>
    </row>
    <row r="24" spans="1:2" x14ac:dyDescent="0.25">
      <c r="A24" s="21" t="s">
        <v>46</v>
      </c>
      <c r="B24">
        <v>1000</v>
      </c>
    </row>
    <row r="25" spans="1:2" x14ac:dyDescent="0.25">
      <c r="A25" s="20" t="s">
        <v>53</v>
      </c>
      <c r="B25">
        <v>226317.46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1DD5-4AC7-4C70-80D1-4E60C5A8E872}">
  <dimension ref="A5:J17"/>
  <sheetViews>
    <sheetView workbookViewId="0">
      <selection activeCell="T18" sqref="T18"/>
    </sheetView>
  </sheetViews>
  <sheetFormatPr baseColWidth="10" defaultRowHeight="15" x14ac:dyDescent="0.25"/>
  <cols>
    <col min="1" max="1" width="27.5703125" bestFit="1" customWidth="1"/>
    <col min="2" max="2" width="5.42578125" bestFit="1" customWidth="1"/>
    <col min="3" max="3" width="9.140625" bestFit="1" customWidth="1"/>
    <col min="4" max="4" width="2" customWidth="1"/>
    <col min="5" max="9" width="8.5703125" customWidth="1"/>
    <col min="10" max="10" width="6" bestFit="1" customWidth="1"/>
  </cols>
  <sheetData>
    <row r="5" spans="1:10" x14ac:dyDescent="0.25">
      <c r="A5" s="9" t="s">
        <v>58</v>
      </c>
      <c r="B5" s="9" t="s">
        <v>4</v>
      </c>
      <c r="C5" s="9" t="s">
        <v>3</v>
      </c>
      <c r="E5" s="9" t="s">
        <v>61</v>
      </c>
      <c r="F5" s="9" t="s">
        <v>62</v>
      </c>
      <c r="G5" s="9" t="s">
        <v>63</v>
      </c>
      <c r="H5" s="9" t="s">
        <v>64</v>
      </c>
      <c r="I5" s="9" t="s">
        <v>65</v>
      </c>
      <c r="J5" s="9" t="s">
        <v>55</v>
      </c>
    </row>
    <row r="6" spans="1:10" x14ac:dyDescent="0.25">
      <c r="A6" t="s">
        <v>27</v>
      </c>
      <c r="B6" t="s">
        <v>19</v>
      </c>
      <c r="C6" s="12">
        <v>9150</v>
      </c>
      <c r="D6" s="12"/>
      <c r="E6">
        <f>C6/2</f>
        <v>4575</v>
      </c>
      <c r="F6">
        <f>C6/2</f>
        <v>4575</v>
      </c>
      <c r="J6" s="12">
        <f>SUM(E6:I6)</f>
        <v>9150</v>
      </c>
    </row>
    <row r="7" spans="1:10" x14ac:dyDescent="0.25">
      <c r="A7" t="s">
        <v>35</v>
      </c>
      <c r="B7" t="s">
        <v>19</v>
      </c>
      <c r="C7" s="12">
        <v>200</v>
      </c>
      <c r="D7" s="12"/>
      <c r="E7">
        <f>C7</f>
        <v>200</v>
      </c>
      <c r="J7" s="12">
        <f t="shared" ref="J7:J16" si="0">SUM(E7:I7)</f>
        <v>200</v>
      </c>
    </row>
    <row r="8" spans="1:10" x14ac:dyDescent="0.25">
      <c r="A8" t="s">
        <v>36</v>
      </c>
      <c r="B8" t="s">
        <v>19</v>
      </c>
      <c r="C8" s="12">
        <v>3000</v>
      </c>
      <c r="D8" s="12"/>
      <c r="E8">
        <v>1500</v>
      </c>
      <c r="F8">
        <v>1500</v>
      </c>
      <c r="J8" s="12">
        <f t="shared" si="0"/>
        <v>3000</v>
      </c>
    </row>
    <row r="9" spans="1:10" x14ac:dyDescent="0.25">
      <c r="A9" t="s">
        <v>77</v>
      </c>
      <c r="B9" t="s">
        <v>19</v>
      </c>
      <c r="C9" s="12">
        <v>16000</v>
      </c>
      <c r="D9" s="12"/>
      <c r="E9">
        <v>5000</v>
      </c>
      <c r="F9">
        <v>5000</v>
      </c>
      <c r="G9">
        <v>6000</v>
      </c>
      <c r="J9" s="12">
        <f t="shared" si="0"/>
        <v>16000</v>
      </c>
    </row>
    <row r="10" spans="1:10" x14ac:dyDescent="0.25">
      <c r="A10" t="s">
        <v>20</v>
      </c>
      <c r="B10" t="s">
        <v>19</v>
      </c>
      <c r="C10" s="12">
        <v>1000</v>
      </c>
      <c r="D10" s="12"/>
      <c r="F10">
        <v>1000</v>
      </c>
      <c r="J10" s="12">
        <f t="shared" si="0"/>
        <v>1000</v>
      </c>
    </row>
    <row r="11" spans="1:10" x14ac:dyDescent="0.25">
      <c r="A11" t="s">
        <v>47</v>
      </c>
      <c r="B11" t="s">
        <v>19</v>
      </c>
      <c r="C11" s="12">
        <v>5000</v>
      </c>
      <c r="D11" s="12"/>
      <c r="E11">
        <v>1000</v>
      </c>
      <c r="F11">
        <v>1000</v>
      </c>
      <c r="G11">
        <v>1000</v>
      </c>
      <c r="H11">
        <v>1000</v>
      </c>
      <c r="I11">
        <v>1000</v>
      </c>
      <c r="J11" s="12">
        <f t="shared" si="0"/>
        <v>5000</v>
      </c>
    </row>
    <row r="12" spans="1:10" x14ac:dyDescent="0.25">
      <c r="A12" t="s">
        <v>44</v>
      </c>
      <c r="B12" t="s">
        <v>19</v>
      </c>
      <c r="C12" s="12">
        <v>15000</v>
      </c>
      <c r="D12" s="12"/>
      <c r="E12">
        <v>3000</v>
      </c>
      <c r="F12">
        <v>3000</v>
      </c>
      <c r="G12">
        <v>3000</v>
      </c>
      <c r="H12">
        <v>3000</v>
      </c>
      <c r="I12">
        <v>3000</v>
      </c>
      <c r="J12" s="12">
        <f t="shared" si="0"/>
        <v>15000</v>
      </c>
    </row>
    <row r="13" spans="1:10" x14ac:dyDescent="0.25">
      <c r="A13" t="s">
        <v>48</v>
      </c>
      <c r="B13" t="s">
        <v>19</v>
      </c>
      <c r="C13" s="12">
        <v>3750</v>
      </c>
      <c r="D13" s="12"/>
      <c r="E13">
        <v>937.5</v>
      </c>
      <c r="F13">
        <v>937.5</v>
      </c>
      <c r="G13">
        <v>937.5</v>
      </c>
      <c r="H13">
        <v>937.5</v>
      </c>
      <c r="J13" s="12">
        <f t="shared" si="0"/>
        <v>3750</v>
      </c>
    </row>
    <row r="14" spans="1:10" x14ac:dyDescent="0.25">
      <c r="A14" t="s">
        <v>28</v>
      </c>
      <c r="B14" t="s">
        <v>19</v>
      </c>
      <c r="C14" s="12">
        <v>48000</v>
      </c>
      <c r="D14" s="12"/>
      <c r="E14">
        <f>C14/2</f>
        <v>24000</v>
      </c>
      <c r="F14">
        <f>C14/2</f>
        <v>24000</v>
      </c>
      <c r="J14" s="12">
        <f t="shared" si="0"/>
        <v>48000</v>
      </c>
    </row>
    <row r="15" spans="1:10" x14ac:dyDescent="0.25">
      <c r="A15" t="s">
        <v>41</v>
      </c>
      <c r="B15" t="s">
        <v>19</v>
      </c>
      <c r="C15" s="12">
        <v>350</v>
      </c>
      <c r="D15" s="12"/>
      <c r="E15">
        <v>350</v>
      </c>
      <c r="J15" s="12">
        <f t="shared" si="0"/>
        <v>350</v>
      </c>
    </row>
    <row r="16" spans="1:10" x14ac:dyDescent="0.25">
      <c r="A16" t="s">
        <v>50</v>
      </c>
      <c r="B16" t="s">
        <v>19</v>
      </c>
      <c r="C16" s="12">
        <v>500</v>
      </c>
      <c r="D16" s="12"/>
      <c r="F16">
        <v>500</v>
      </c>
      <c r="J16" s="12">
        <f t="shared" si="0"/>
        <v>500</v>
      </c>
    </row>
    <row r="17" spans="1:10" x14ac:dyDescent="0.25">
      <c r="A17" s="11"/>
      <c r="B17" s="11"/>
      <c r="C17" s="11"/>
      <c r="E17" s="11"/>
      <c r="F17" s="11"/>
      <c r="G17" s="11"/>
      <c r="H17" s="11"/>
      <c r="I17" s="11"/>
      <c r="J17" s="11"/>
    </row>
  </sheetData>
  <pageMargins left="0.7" right="0.7" top="0.75" bottom="0.75" header="0.3" footer="0.3"/>
  <ignoredErrors>
    <ignoredError sqref="J8:J13 J15:J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Datos</vt:lpstr>
      <vt:lpstr>Productos $</vt:lpstr>
      <vt:lpstr>X Mes</vt:lpstr>
      <vt:lpstr>X Meses $</vt:lpstr>
      <vt:lpstr>Cantidades</vt:lpstr>
      <vt:lpstr>$ x Producto</vt:lpstr>
      <vt:lpstr>Cumplido - Pendiente</vt:lpstr>
      <vt:lpstr>X Meses $ (2)</vt:lpstr>
      <vt:lpstr>Lisal</vt:lpstr>
      <vt:lpstr>Borrador</vt:lpstr>
      <vt:lpstr>Pendientes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Casulli</dc:creator>
  <cp:lastModifiedBy>Alejandro Casulli</cp:lastModifiedBy>
  <cp:lastPrinted>2026-05-20T17:18:03Z</cp:lastPrinted>
  <dcterms:created xsi:type="dcterms:W3CDTF">2026-01-28T23:45:00Z</dcterms:created>
  <dcterms:modified xsi:type="dcterms:W3CDTF">2026-10-02T17:24:07Z</dcterms:modified>
</cp:coreProperties>
</file>