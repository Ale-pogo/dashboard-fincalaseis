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147" documentId="8_{2CB4EE34-6C5C-4BFC-A733-82F62E15FD2D}" xr6:coauthVersionLast="47" xr6:coauthVersionMax="47" xr10:uidLastSave="{A388310B-85C3-4D27-9D9C-1D672D274C90}"/>
  <bookViews>
    <workbookView xWindow="-120" yWindow="-120" windowWidth="29040" windowHeight="1584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31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0" i="1" l="1"/>
  <c r="K120" i="1" s="1"/>
  <c r="L120" i="1" s="1"/>
  <c r="J120" i="1"/>
  <c r="N120" i="1"/>
  <c r="I117" i="1"/>
  <c r="K117" i="1" s="1"/>
  <c r="L117" i="1" s="1"/>
  <c r="J117" i="1"/>
  <c r="N117" i="1"/>
  <c r="I110" i="1"/>
  <c r="J110" i="1"/>
  <c r="N110" i="1"/>
  <c r="I76" i="1"/>
  <c r="J76" i="1"/>
  <c r="N76" i="1"/>
  <c r="H21" i="7"/>
  <c r="I40" i="1"/>
  <c r="J40" i="1"/>
  <c r="N40" i="1"/>
  <c r="I119" i="1"/>
  <c r="J119" i="1"/>
  <c r="N119" i="1"/>
  <c r="I39" i="1"/>
  <c r="J39" i="1"/>
  <c r="N39" i="1"/>
  <c r="I27" i="1"/>
  <c r="J27" i="1"/>
  <c r="N27" i="1"/>
  <c r="I87" i="1"/>
  <c r="J87" i="1"/>
  <c r="N87" i="1"/>
  <c r="I75" i="1"/>
  <c r="J75" i="1"/>
  <c r="N75" i="1"/>
  <c r="I109" i="1"/>
  <c r="J109" i="1"/>
  <c r="N109" i="1"/>
  <c r="I26" i="1"/>
  <c r="J26" i="1"/>
  <c r="N26" i="1"/>
  <c r="I84" i="1"/>
  <c r="J84" i="1"/>
  <c r="N84" i="1"/>
  <c r="I15" i="1"/>
  <c r="J15" i="1"/>
  <c r="N15" i="1"/>
  <c r="I99" i="1"/>
  <c r="J99" i="1"/>
  <c r="N99" i="1"/>
  <c r="I98" i="1"/>
  <c r="J98" i="1"/>
  <c r="N98" i="1"/>
  <c r="I91" i="1"/>
  <c r="J91" i="1"/>
  <c r="N91" i="1"/>
  <c r="I97" i="1"/>
  <c r="J97" i="1"/>
  <c r="N97" i="1"/>
  <c r="I96" i="1"/>
  <c r="J96" i="1"/>
  <c r="N96" i="1"/>
  <c r="I16" i="1"/>
  <c r="J16" i="1"/>
  <c r="N16" i="1"/>
  <c r="I25" i="1"/>
  <c r="J25" i="1"/>
  <c r="N25" i="1"/>
  <c r="K110" i="1" l="1"/>
  <c r="L110" i="1" s="1"/>
  <c r="K76" i="1"/>
  <c r="L76" i="1" s="1"/>
  <c r="K40" i="1"/>
  <c r="L40" i="1" s="1"/>
  <c r="K39" i="1"/>
  <c r="L39" i="1" s="1"/>
  <c r="K119" i="1"/>
  <c r="L119" i="1" s="1"/>
  <c r="K87" i="1"/>
  <c r="L87" i="1" s="1"/>
  <c r="K27" i="1"/>
  <c r="L27" i="1" s="1"/>
  <c r="K75" i="1"/>
  <c r="L75" i="1" s="1"/>
  <c r="K99" i="1"/>
  <c r="L99" i="1" s="1"/>
  <c r="K84" i="1"/>
  <c r="L84" i="1" s="1"/>
  <c r="K109" i="1"/>
  <c r="L109" i="1" s="1"/>
  <c r="K26" i="1"/>
  <c r="L26" i="1" s="1"/>
  <c r="K15" i="1"/>
  <c r="L15" i="1" s="1"/>
  <c r="K25" i="1"/>
  <c r="L25" i="1" s="1"/>
  <c r="K98" i="1"/>
  <c r="L98" i="1" s="1"/>
  <c r="K91" i="1"/>
  <c r="L91" i="1" s="1"/>
  <c r="K96" i="1"/>
  <c r="L96" i="1" s="1"/>
  <c r="K97" i="1"/>
  <c r="L97" i="1" s="1"/>
  <c r="K16" i="1"/>
  <c r="L16" i="1" s="1"/>
  <c r="N102" i="1"/>
  <c r="J102" i="1"/>
  <c r="I102" i="1"/>
  <c r="K102" i="1" l="1"/>
  <c r="L102" i="1" s="1"/>
  <c r="N101" i="1"/>
  <c r="J101" i="1"/>
  <c r="I101" i="1"/>
  <c r="K101" i="1" l="1"/>
  <c r="L101" i="1" s="1"/>
  <c r="H26" i="7"/>
  <c r="H25" i="7"/>
  <c r="N104" i="1"/>
  <c r="J104" i="1"/>
  <c r="I104" i="1"/>
  <c r="N103" i="1"/>
  <c r="J103" i="1"/>
  <c r="I103" i="1"/>
  <c r="N33" i="1"/>
  <c r="J33" i="1"/>
  <c r="I33" i="1"/>
  <c r="N74" i="1"/>
  <c r="J74" i="1"/>
  <c r="I74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4" i="1" l="1"/>
  <c r="L74" i="1" s="1"/>
  <c r="K33" i="1"/>
  <c r="L33" i="1" s="1"/>
  <c r="K104" i="1"/>
  <c r="L104" i="1" s="1"/>
  <c r="K103" i="1"/>
  <c r="L103" i="1" s="1"/>
  <c r="N32" i="1"/>
  <c r="J32" i="1"/>
  <c r="I32" i="1"/>
  <c r="N83" i="1"/>
  <c r="J83" i="1"/>
  <c r="I83" i="1"/>
  <c r="N11" i="1"/>
  <c r="N12" i="1"/>
  <c r="N13" i="1"/>
  <c r="N14" i="1"/>
  <c r="N17" i="1"/>
  <c r="N18" i="1"/>
  <c r="N19" i="1"/>
  <c r="N20" i="1"/>
  <c r="N21" i="1"/>
  <c r="N22" i="1"/>
  <c r="N23" i="1"/>
  <c r="N24" i="1"/>
  <c r="N28" i="1"/>
  <c r="N29" i="1"/>
  <c r="N105" i="1"/>
  <c r="N106" i="1"/>
  <c r="N107" i="1"/>
  <c r="N30" i="1"/>
  <c r="N111" i="1"/>
  <c r="N112" i="1"/>
  <c r="N31" i="1"/>
  <c r="N34" i="1"/>
  <c r="N35" i="1"/>
  <c r="N36" i="1"/>
  <c r="N37" i="1"/>
  <c r="N38" i="1"/>
  <c r="N113" i="1"/>
  <c r="N114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7" i="1"/>
  <c r="N78" i="1"/>
  <c r="N79" i="1"/>
  <c r="N80" i="1"/>
  <c r="N81" i="1"/>
  <c r="N82" i="1"/>
  <c r="N85" i="1"/>
  <c r="N86" i="1"/>
  <c r="N115" i="1"/>
  <c r="N116" i="1"/>
  <c r="N88" i="1"/>
  <c r="N89" i="1"/>
  <c r="N90" i="1"/>
  <c r="N108" i="1"/>
  <c r="N118" i="1"/>
  <c r="N92" i="1"/>
  <c r="N93" i="1"/>
  <c r="N94" i="1"/>
  <c r="N95" i="1"/>
  <c r="N100" i="1"/>
  <c r="N10" i="1"/>
  <c r="K32" i="1" l="1"/>
  <c r="L32" i="1" s="1"/>
  <c r="K83" i="1"/>
  <c r="L83" i="1" s="1"/>
  <c r="J37" i="1"/>
  <c r="I37" i="1"/>
  <c r="J12" i="1"/>
  <c r="I12" i="1"/>
  <c r="J11" i="1"/>
  <c r="I11" i="1"/>
  <c r="J88" i="1"/>
  <c r="I88" i="1"/>
  <c r="J35" i="1"/>
  <c r="I35" i="1"/>
  <c r="G17" i="7"/>
  <c r="J10" i="8"/>
  <c r="J8" i="8"/>
  <c r="J9" i="8"/>
  <c r="J11" i="8"/>
  <c r="J12" i="8"/>
  <c r="J13" i="8"/>
  <c r="J15" i="8"/>
  <c r="J16" i="8"/>
  <c r="K11" i="1" l="1"/>
  <c r="L11" i="1" s="1"/>
  <c r="K88" i="1"/>
  <c r="L88" i="1" s="1"/>
  <c r="K12" i="1"/>
  <c r="L12" i="1" s="1"/>
  <c r="K35" i="1"/>
  <c r="L35" i="1" s="1"/>
  <c r="K37" i="1"/>
  <c r="L37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8" i="1"/>
  <c r="I29" i="1"/>
  <c r="I105" i="1"/>
  <c r="I106" i="1"/>
  <c r="I107" i="1"/>
  <c r="I30" i="1"/>
  <c r="I111" i="1"/>
  <c r="I112" i="1"/>
  <c r="I31" i="1"/>
  <c r="I34" i="1"/>
  <c r="I36" i="1"/>
  <c r="I38" i="1"/>
  <c r="I113" i="1"/>
  <c r="I114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7" i="1"/>
  <c r="I78" i="1"/>
  <c r="I79" i="1"/>
  <c r="I80" i="1"/>
  <c r="I81" i="1"/>
  <c r="I82" i="1"/>
  <c r="I85" i="1"/>
  <c r="I86" i="1"/>
  <c r="I115" i="1"/>
  <c r="I116" i="1"/>
  <c r="I89" i="1"/>
  <c r="I90" i="1"/>
  <c r="I108" i="1"/>
  <c r="I118" i="1"/>
  <c r="I92" i="1"/>
  <c r="I93" i="1"/>
  <c r="I94" i="1"/>
  <c r="I95" i="1"/>
  <c r="I100" i="1"/>
  <c r="I10" i="1"/>
  <c r="J13" i="1"/>
  <c r="J14" i="1"/>
  <c r="J17" i="1"/>
  <c r="J18" i="1"/>
  <c r="J19" i="1"/>
  <c r="J20" i="1"/>
  <c r="J21" i="1"/>
  <c r="J22" i="1"/>
  <c r="J23" i="1"/>
  <c r="J24" i="1"/>
  <c r="J28" i="1"/>
  <c r="J29" i="1"/>
  <c r="J105" i="1"/>
  <c r="J106" i="1"/>
  <c r="J107" i="1"/>
  <c r="J30" i="1"/>
  <c r="J111" i="1"/>
  <c r="J112" i="1"/>
  <c r="J31" i="1"/>
  <c r="J34" i="1"/>
  <c r="J36" i="1"/>
  <c r="J38" i="1"/>
  <c r="J113" i="1"/>
  <c r="J114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7" i="1"/>
  <c r="J78" i="1"/>
  <c r="J79" i="1"/>
  <c r="J80" i="1"/>
  <c r="J81" i="1"/>
  <c r="J82" i="1"/>
  <c r="J85" i="1"/>
  <c r="J86" i="1"/>
  <c r="J115" i="1"/>
  <c r="J116" i="1"/>
  <c r="J89" i="1"/>
  <c r="J90" i="1"/>
  <c r="J108" i="1"/>
  <c r="J118" i="1"/>
  <c r="J92" i="1"/>
  <c r="J93" i="1"/>
  <c r="J94" i="1"/>
  <c r="J95" i="1"/>
  <c r="J100" i="1"/>
  <c r="J10" i="1"/>
  <c r="K90" i="1" l="1"/>
  <c r="K73" i="1"/>
  <c r="K61" i="1"/>
  <c r="L61" i="1" s="1"/>
  <c r="K49" i="1"/>
  <c r="K36" i="1"/>
  <c r="L36" i="1" s="1"/>
  <c r="K29" i="1"/>
  <c r="L29" i="1" s="1"/>
  <c r="K10" i="1"/>
  <c r="L10" i="1" s="1"/>
  <c r="K115" i="1"/>
  <c r="L115" i="1" s="1"/>
  <c r="K70" i="1"/>
  <c r="L70" i="1" s="1"/>
  <c r="K58" i="1"/>
  <c r="L58" i="1" s="1"/>
  <c r="K46" i="1"/>
  <c r="L46" i="1" s="1"/>
  <c r="K89" i="1"/>
  <c r="L89" i="1" s="1"/>
  <c r="K116" i="1"/>
  <c r="L116" i="1" s="1"/>
  <c r="K71" i="1"/>
  <c r="L71" i="1" s="1"/>
  <c r="K59" i="1"/>
  <c r="L59" i="1" s="1"/>
  <c r="K47" i="1"/>
  <c r="L47" i="1" s="1"/>
  <c r="K31" i="1"/>
  <c r="L31" i="1" s="1"/>
  <c r="K24" i="1"/>
  <c r="L24" i="1" s="1"/>
  <c r="K23" i="1"/>
  <c r="L23" i="1" s="1"/>
  <c r="K72" i="1"/>
  <c r="L72" i="1" s="1"/>
  <c r="K60" i="1"/>
  <c r="L60" i="1" s="1"/>
  <c r="K48" i="1"/>
  <c r="L48" i="1" s="1"/>
  <c r="K34" i="1"/>
  <c r="L34" i="1" s="1"/>
  <c r="K28" i="1"/>
  <c r="L28" i="1" s="1"/>
  <c r="K100" i="1"/>
  <c r="L100" i="1" s="1"/>
  <c r="K86" i="1"/>
  <c r="L86" i="1" s="1"/>
  <c r="K69" i="1"/>
  <c r="L69" i="1" s="1"/>
  <c r="K57" i="1"/>
  <c r="L57" i="1" s="1"/>
  <c r="K45" i="1"/>
  <c r="L45" i="1" s="1"/>
  <c r="K22" i="1"/>
  <c r="L22" i="1" s="1"/>
  <c r="K95" i="1"/>
  <c r="L95" i="1" s="1"/>
  <c r="K85" i="1"/>
  <c r="L85" i="1" s="1"/>
  <c r="K68" i="1"/>
  <c r="L68" i="1" s="1"/>
  <c r="K56" i="1"/>
  <c r="L56" i="1" s="1"/>
  <c r="K44" i="1"/>
  <c r="L44" i="1" s="1"/>
  <c r="K112" i="1"/>
  <c r="L112" i="1" s="1"/>
  <c r="K21" i="1"/>
  <c r="L21" i="1" s="1"/>
  <c r="K94" i="1"/>
  <c r="L94" i="1" s="1"/>
  <c r="K82" i="1"/>
  <c r="L82" i="1" s="1"/>
  <c r="K67" i="1"/>
  <c r="L67" i="1" s="1"/>
  <c r="K55" i="1"/>
  <c r="L55" i="1" s="1"/>
  <c r="K43" i="1"/>
  <c r="L43" i="1" s="1"/>
  <c r="K111" i="1"/>
  <c r="L111" i="1" s="1"/>
  <c r="K20" i="1"/>
  <c r="L20" i="1" s="1"/>
  <c r="K93" i="1"/>
  <c r="L93" i="1" s="1"/>
  <c r="K81" i="1"/>
  <c r="L81" i="1" s="1"/>
  <c r="K66" i="1"/>
  <c r="L66" i="1" s="1"/>
  <c r="K54" i="1"/>
  <c r="L54" i="1" s="1"/>
  <c r="K42" i="1"/>
  <c r="L42" i="1" s="1"/>
  <c r="K30" i="1"/>
  <c r="L30" i="1" s="1"/>
  <c r="K19" i="1"/>
  <c r="L19" i="1" s="1"/>
  <c r="K92" i="1"/>
  <c r="L92" i="1" s="1"/>
  <c r="K80" i="1"/>
  <c r="L80" i="1" s="1"/>
  <c r="K65" i="1"/>
  <c r="L65" i="1" s="1"/>
  <c r="K53" i="1"/>
  <c r="L53" i="1" s="1"/>
  <c r="K41" i="1"/>
  <c r="L41" i="1" s="1"/>
  <c r="K18" i="1"/>
  <c r="L18" i="1" s="1"/>
  <c r="K79" i="1"/>
  <c r="L79" i="1" s="1"/>
  <c r="K64" i="1"/>
  <c r="L64" i="1" s="1"/>
  <c r="K52" i="1"/>
  <c r="L52" i="1" s="1"/>
  <c r="K114" i="1"/>
  <c r="L114" i="1" s="1"/>
  <c r="K107" i="1"/>
  <c r="L107" i="1" s="1"/>
  <c r="K17" i="1"/>
  <c r="L17" i="1" s="1"/>
  <c r="K118" i="1"/>
  <c r="L118" i="1" s="1"/>
  <c r="K78" i="1"/>
  <c r="L78" i="1" s="1"/>
  <c r="K63" i="1"/>
  <c r="L63" i="1" s="1"/>
  <c r="K51" i="1"/>
  <c r="L51" i="1" s="1"/>
  <c r="K113" i="1"/>
  <c r="L113" i="1" s="1"/>
  <c r="K106" i="1"/>
  <c r="L106" i="1" s="1"/>
  <c r="K14" i="1"/>
  <c r="L14" i="1" s="1"/>
  <c r="K108" i="1"/>
  <c r="L108" i="1" s="1"/>
  <c r="K77" i="1"/>
  <c r="L77" i="1" s="1"/>
  <c r="K62" i="1"/>
  <c r="L62" i="1" s="1"/>
  <c r="K50" i="1"/>
  <c r="L50" i="1" s="1"/>
  <c r="K38" i="1"/>
  <c r="L38" i="1" s="1"/>
  <c r="K105" i="1"/>
  <c r="L105" i="1" s="1"/>
  <c r="K13" i="1"/>
  <c r="L13" i="1" s="1"/>
  <c r="K24" i="6"/>
  <c r="J24" i="6"/>
  <c r="C15" i="6"/>
  <c r="H15" i="6" s="1"/>
  <c r="K12" i="6"/>
  <c r="J12" i="6"/>
  <c r="L49" i="1"/>
  <c r="L73" i="1"/>
  <c r="L90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<sst xmlns="http://schemas.openxmlformats.org/spreadsheetml/2006/main" count="1488" uniqueCount="198">
  <si>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</si>
  <si>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</si>
  <si>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</si>
  <si>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</si>
  <si>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</si>
  <si>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</si>
  <si>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</si>
  <si>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</si>
  <si>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</si>
  <si>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</si>
  <si>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</si>
  <si>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</si>
  <si>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</si>
  <si>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</si>
  <si>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</si>
  <si>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</si>
  <si>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</si>
  <si>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</si>
  <si>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</si>
  <si>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</si>
  <si>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</si>
  <si>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</si>
  <si>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</si>
  <si>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</si>
  <si>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</si>
  <si>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</si>
  <si>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</si>
  <si>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</si>
  <si>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</si>
  <si>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</si>
  <si>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</si>
  <si>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</si>
  <si>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</si>
  <si>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</si>
  <si>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</si>
  <si>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</si>
  <si>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</si>
  <si>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</si>
  <si>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</si>
  <si>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</si>
  <si>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</si>
  <si>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</si>
  <si>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</si>
  <si>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</si>
  <si>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</si>
  <si>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</si>
  <si>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</si>
  <si>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</si>
  <si>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</si>
  <si>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</si>
  <si>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</si>
  <si>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</si>
  <si>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</si>
  <si>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</si>
  <si>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</si>
  <si>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</si>
  <si>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</si>
  <si>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</si>
  <si>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</si>
  <si>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</si>
  <si>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</si>
  <si>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</si>
  <si>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</si>
  <si>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</si>
  <si>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</si>
  <si>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</si>
  <si>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</si>
  <si>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</si>
  <si>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</si>
  <si>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</si>
  <si>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</si>
  <si>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</si>
  <si>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</si>
  <si>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</si>
  <si>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</si>
  <si>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</si>
  <si>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</si>
  <si>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</si>
  <si>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</si>
  <si>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</si>
  <si>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</si>
  <si>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</si>
  <si>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</si>
  <si>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</si>
  <si>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</si>
  <si>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</si>
  <si>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</si>
  <si>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</si>
  <si>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</si>
  <si>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</si>
  <si>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</si>
  <si>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Quiroga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</si>
  <si>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</si>
  <si>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</si>
  <si>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</si>
  <si>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</si>
  <si>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</si>
  <si>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</si>
  <si>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</si>
  <si>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</si>
  <si>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</si>
  <si>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</si>
  <si>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</si>
  <si>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15-may</t>
  </si>
  <si>
    <t>20-may</t>
  </si>
  <si>
    <t>15-jun</t>
  </si>
  <si>
    <t>20-jun</t>
  </si>
  <si>
    <t>1-jul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</si>
  <si>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</si>
  <si>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</si>
  <si>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</si>
  <si>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</si>
  <si>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</si>
  <si>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</si>
  <si>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</si>
  <si>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</si>
  <si>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</si>
  <si>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</si>
  <si>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</si>
  <si>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</si>
  <si>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</si>
  <si>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</si>
  <si>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</si>
  <si>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</si>
  <si>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</si>
  <si>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</si>
  <si>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</si>
  <si>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</si>
  <si>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</si>
  <si>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</si>
  <si>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</si>
  <si>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</si>
  <si>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</si>
  <si>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</si>
  <si>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</si>
  <si>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</si>
  <si>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</si>
  <si>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</si>
  <si>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</si>
  <si>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</si>
  <si>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</si>
  <si>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</si>
  <si>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</si>
  <si>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</si>
  <si>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</si>
  <si>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</si>
  <si>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</si>
  <si>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</si>
  <si>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</si>
  <si>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</si>
  <si>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</si>
  <si>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</si>
  <si>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</si>
  <si>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</si>
  <si>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</si>
  <si>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</si>
  <si>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</si>
  <si>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</si>
  <si>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</si>
  <si>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</si>
  <si>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</si>
  <si>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</si>
  <si>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</si>
  <si>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</si>
  <si>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</si>
  <si>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</si>
  <si>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</si>
  <si>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</si>
  <si>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</si>
  <si>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12-jun</t>
  </si>
  <si>
    <t>15-jul</t>
  </si>
  <si>
    <t>20-jul</t>
  </si>
  <si>
    <t>10-jul</t>
  </si>
  <si>
    <t>R-1-140042</t>
  </si>
  <si>
    <t>R-1-140043</t>
  </si>
  <si>
    <t>5-jun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</si>
  <si>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</si>
  <si>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</si>
  <si>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</si>
  <si>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</si>
  <si>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</si>
  <si>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</si>
  <si>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</si>
  <si>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</si>
  <si>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25-may</t>
  </si>
  <si>
    <t>(en blanco)</t>
  </si>
  <si>
    <t>Total (en blanco)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</si>
  <si>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</si>
  <si>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</si>
  <si>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</si>
  <si>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</si>
  <si>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</si>
  <si>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</si>
  <si>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</si>
  <si>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</si>
  <si>
    <t>Equipo de Sal a granel</t>
  </si>
  <si>
    <t>R-1-42253</t>
  </si>
  <si>
    <t>R-1-512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</si>
</sst>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0" xfId="0" applyFont="1"/>
    <xf numFmtId="0" fontId="4" fillId="4" borderId="0" xfId="0" applyFont="1" applyFill="1"/>
    <xf numFmtId="0" fontId="4" fillId="0" borderId="0" xfId="0" applyFont="1"/>
  </cellXfs>
  <cellStyles count="3">
    <cellStyle name="Moneda" xfId="1" builtinId="4"/>
    <cellStyle name="Normal" xfId="0" builtinId="0"/>
    <cellStyle name="Normal 2 3" xfId="2" xr:uid="{1D32B0D1-24D0-4CD1-BA07-AB849F504D40}"/>
  </cellStyles>
  <dxfs count="46"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541068</xdr:colOff>
      <xdr:row>1</xdr:row>
      <xdr:rowOff>1</xdr:rowOff>
    </xdr:from>
    <xdr:to>
      <xdr:col>7</xdr:col>
      <xdr:colOff>1059754</xdr:colOff>
      <xdr:row>8</xdr:row>
      <xdr:rowOff>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E8E167-89B8-67F7-A184-E2A78AC095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20127" y="188615"/>
          <a:ext cx="2121904" cy="11788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6</xdr:col>
      <xdr:colOff>39486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83.460095949071" createdVersion="8" refreshedVersion="8" minRefreshableVersion="3" recordCount="107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5-07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ji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3.15"/>
        <n v="12.7"/>
        <n v="2.8"/>
        <n v="0.85"/>
        <n v="101000"/>
        <n v="137500"/>
        <n v="155000"/>
        <n v="2.95"/>
        <n v="2.1156999999999999"/>
        <n v="1.2"/>
        <n v="4.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5.80204778156997"/>
    </cacheField>
    <cacheField name="Total" numFmtId="44">
      <sharedItems containsSemiMixedTypes="0" containsString="0" containsNumber="1" minValue="204.00000000000003" maxValue="34560"/>
    </cacheField>
    <cacheField name="Fecha Entrega" numFmtId="14">
      <sharedItems containsSemiMixedTypes="0" containsNonDate="0" containsDate="1" containsString="0" minDate="2026-01-01T00:00:00" maxDate="2026-07-21T00:00:00" count="84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5-25T00:00:00"/>
        <d v="2026-02-10T00:00:00"/>
        <d v="2026-05-15T00:00:00"/>
        <d v="2026-06-15T00:00:00"/>
        <d v="2026-07-15T00:00:00"/>
        <d v="2026-05-20T00:00:00"/>
        <d v="2026-05-06T00:00:00"/>
        <d v="2026-02-02T00:00:00"/>
        <d v="2026-03-01T00:00:00"/>
        <d v="2026-05-26T00:00:00"/>
        <d v="2026-06-06T00:00:00"/>
        <d v="2026-06-20T00:00:00"/>
        <d v="2026-06-05T00:00:00"/>
        <d v="2026-07-01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9T00:00:00"/>
        <d v="2026-05-22T00:00:00"/>
        <d v="2026-05-08T00:00:00"/>
        <d v="2026-02-16T00:00:00"/>
        <d v="2026-02-28T00:00:00"/>
        <d v="2026-03-07T00:00:00"/>
        <d v="2026-03-20T00:00:00"/>
        <d v="2026-04-02T00:00:00"/>
        <d v="2026-07-20T00:00:00"/>
        <d v="2026-02-04T00:00:00"/>
        <d v="2026-06-10T00:00:00"/>
        <d v="2026-06-12T00:00:00"/>
        <d v="2026-07-10T00:00:00"/>
        <d v="2026-01-01T00:00:00"/>
        <d v="2026-03-28T00:00:00"/>
        <d v="2026-04-04T00:00:00"/>
        <d v="2026-04-23T00:00:00"/>
        <d v="2026-05-29T00:00:00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7">
        <s v="febrero"/>
        <s v="marzo"/>
        <s v="mayo"/>
        <s v="abril"/>
        <s v="enero"/>
        <s v="junio"/>
        <s v="julio"/>
      </sharedItems>
    </cacheField>
    <cacheField name="Estado" numFmtId="0">
      <sharedItems containsBlank="1" count="3">
        <s v="Cumplido"/>
        <s v="Pendiente"/>
        <m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3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07-2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1/7/2026"/>
        </groupItems>
      </fieldGroup>
    </cacheField>
    <cacheField name="Meses (Fecha Entrega)" numFmtId="0" databaseField="0">
      <fieldGroup base="12">
        <rangePr groupBy="months" startDate="2026-01-01T00:00:00" endDate="2026-07-2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1/7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m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m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m/>
    <d v="2026-04-16T00:00:00"/>
    <s v="PRODUCTOS QUIMICOS"/>
    <n v="600"/>
    <x v="0"/>
    <x v="3"/>
    <s v="Cloro Mendoza"/>
    <x v="0"/>
    <x v="0"/>
    <x v="3"/>
    <n v="0.34"/>
    <n v="204.00000000000003"/>
    <x v="11"/>
    <x v="2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335"/>
    <x v="0"/>
    <x v="5"/>
    <m/>
    <x v="1"/>
    <x v="0"/>
    <x v="5"/>
    <n v="3.15"/>
    <n v="1055.25"/>
    <x v="13"/>
    <x v="2"/>
    <x v="1"/>
    <m/>
    <n v="4"/>
    <n v="7"/>
    <m/>
  </r>
  <r>
    <s v="Planta"/>
    <d v="2026-01-22T00:00:00"/>
    <s v="PRODUCTOS QUIMICOS"/>
    <n v="335"/>
    <x v="0"/>
    <x v="5"/>
    <m/>
    <x v="1"/>
    <x v="0"/>
    <x v="5"/>
    <n v="3.15"/>
    <n v="1055.25"/>
    <x v="14"/>
    <x v="5"/>
    <x v="1"/>
    <m/>
    <n v="4"/>
    <n v="10"/>
    <m/>
  </r>
  <r>
    <s v="Planta"/>
    <d v="2026-01-22T00:00:00"/>
    <s v="PRODUCTOS QUIMICOS"/>
    <n v="335"/>
    <x v="0"/>
    <x v="5"/>
    <m/>
    <x v="1"/>
    <x v="0"/>
    <x v="5"/>
    <n v="3.15"/>
    <n v="1055.25"/>
    <x v="15"/>
    <x v="6"/>
    <x v="1"/>
    <m/>
    <n v="4"/>
    <n v="14"/>
    <m/>
  </r>
  <r>
    <s v="Planta"/>
    <d v="2026-01-22T00:00:00"/>
    <s v="PRODUCTOS QUIMICOS"/>
    <n v="1600"/>
    <x v="0"/>
    <x v="6"/>
    <m/>
    <x v="1"/>
    <x v="0"/>
    <x v="6"/>
    <n v="12.7"/>
    <n v="20320"/>
    <x v="16"/>
    <x v="2"/>
    <x v="1"/>
    <m/>
    <n v="4"/>
    <n v="7"/>
    <m/>
  </r>
  <r>
    <s v="Planta"/>
    <d v="2026-01-22T00:00:00"/>
    <s v="PRODUCTOS QUIMICOS"/>
    <n v="1600"/>
    <x v="0"/>
    <x v="6"/>
    <m/>
    <x v="1"/>
    <x v="0"/>
    <x v="6"/>
    <n v="12.7"/>
    <n v="20320"/>
    <x v="14"/>
    <x v="5"/>
    <x v="1"/>
    <m/>
    <n v="4"/>
    <n v="10"/>
    <m/>
  </r>
  <r>
    <s v="Planta"/>
    <d v="2026-01-22T00:00:00"/>
    <s v="PRODUCTOS QUIMICOS"/>
    <n v="1800"/>
    <x v="0"/>
    <x v="6"/>
    <m/>
    <x v="1"/>
    <x v="0"/>
    <x v="6"/>
    <n v="12.7"/>
    <n v="22860"/>
    <x v="15"/>
    <x v="6"/>
    <x v="1"/>
    <m/>
    <n v="4"/>
    <n v="14"/>
    <m/>
  </r>
  <r>
    <s v="Planta"/>
    <d v="2023-01-22T00:00:00"/>
    <s v="PRODUCTOS QUIMICOS"/>
    <n v="500"/>
    <x v="0"/>
    <x v="7"/>
    <m/>
    <x v="1"/>
    <x v="0"/>
    <x v="7"/>
    <n v="2.8"/>
    <n v="1400"/>
    <x v="2"/>
    <x v="1"/>
    <x v="0"/>
    <m/>
    <n v="4"/>
    <n v="10"/>
    <m/>
  </r>
  <r>
    <s v="Planta"/>
    <d v="2023-01-22T00:00:00"/>
    <s v="PRODUCTOS QUIMICOS"/>
    <n v="400"/>
    <x v="0"/>
    <x v="7"/>
    <s v="Quimica Mega"/>
    <x v="1"/>
    <x v="0"/>
    <x v="7"/>
    <n v="2.8"/>
    <n v="1120"/>
    <x v="5"/>
    <x v="3"/>
    <x v="0"/>
    <s v="R-1-140116"/>
    <m/>
    <m/>
    <m/>
  </r>
  <r>
    <s v="Planta"/>
    <d v="2023-01-22T00:00:00"/>
    <s v="PRODUCTOS QUIMICOS"/>
    <n v="1500"/>
    <x v="0"/>
    <x v="7"/>
    <s v="Quimica Mega"/>
    <x v="1"/>
    <x v="0"/>
    <x v="7"/>
    <n v="2.8"/>
    <n v="4200"/>
    <x v="17"/>
    <x v="2"/>
    <x v="0"/>
    <s v="R-1-140042"/>
    <m/>
    <m/>
    <m/>
  </r>
  <r>
    <s v="Planta"/>
    <d v="2026-01-22T00:00:00"/>
    <s v="PRODUCTOS QUIMICOS"/>
    <n v="3750"/>
    <x v="0"/>
    <x v="8"/>
    <m/>
    <x v="1"/>
    <x v="0"/>
    <x v="8"/>
    <n v="0.85"/>
    <n v="3187.5"/>
    <x v="0"/>
    <x v="0"/>
    <x v="0"/>
    <m/>
    <n v="4"/>
    <n v="7"/>
    <m/>
  </r>
  <r>
    <s v="Planta"/>
    <d v="2026-01-22T00:00:00"/>
    <s v="PRODUCTOS QUIMICOS"/>
    <n v="500"/>
    <x v="0"/>
    <x v="8"/>
    <s v="Proquimica"/>
    <x v="1"/>
    <x v="0"/>
    <x v="8"/>
    <n v="0.85"/>
    <n v="425"/>
    <x v="18"/>
    <x v="0"/>
    <x v="0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19"/>
    <x v="1"/>
    <x v="0"/>
    <m/>
    <n v="4"/>
    <n v="10"/>
    <m/>
  </r>
  <r>
    <s v="Planta"/>
    <d v="2026-01-22T00:00:00"/>
    <s v="PRODUCTOS QUIMICOS"/>
    <n v="500"/>
    <x v="0"/>
    <x v="8"/>
    <s v="Quimica Mega"/>
    <x v="1"/>
    <x v="0"/>
    <x v="8"/>
    <n v="0.85"/>
    <n v="425"/>
    <x v="5"/>
    <x v="3"/>
    <x v="0"/>
    <s v="R-1-140116"/>
    <m/>
    <m/>
    <m/>
  </r>
  <r>
    <s v="Planta"/>
    <d v="2026-01-22T00:00:00"/>
    <s v="PRODUCTOS QUIMICOS"/>
    <n v="1000"/>
    <x v="0"/>
    <x v="8"/>
    <s v="Proquimica"/>
    <x v="1"/>
    <x v="0"/>
    <x v="8"/>
    <n v="0.85"/>
    <n v="850"/>
    <x v="20"/>
    <x v="2"/>
    <x v="0"/>
    <s v="R-1-410"/>
    <n v="4"/>
    <n v="14"/>
    <m/>
  </r>
  <r>
    <s v="Planta"/>
    <d v="2026-01-23T00:00:00"/>
    <s v="PRODUCTOS QUIMICOS"/>
    <n v="1000"/>
    <x v="0"/>
    <x v="8"/>
    <s v="Proquimica"/>
    <x v="1"/>
    <x v="0"/>
    <x v="8"/>
    <n v="0.85"/>
    <n v="850"/>
    <x v="21"/>
    <x v="5"/>
    <x v="0"/>
    <s v="R-1-420"/>
    <m/>
    <m/>
    <m/>
  </r>
  <r>
    <s v="Planta"/>
    <d v="2026-01-24T00:00:00"/>
    <s v="PRODUCTOS QUIMICOS"/>
    <n v="1000"/>
    <x v="0"/>
    <x v="8"/>
    <m/>
    <x v="1"/>
    <x v="0"/>
    <x v="8"/>
    <n v="0.85"/>
    <n v="850"/>
    <x v="22"/>
    <x v="5"/>
    <x v="1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23"/>
    <x v="5"/>
    <x v="1"/>
    <m/>
    <n v="4"/>
    <n v="18"/>
    <m/>
  </r>
  <r>
    <s v="Planta"/>
    <d v="2026-01-22T00:00:00"/>
    <s v="PRODUCTOS QUIMICOS"/>
    <n v="2250"/>
    <x v="0"/>
    <x v="8"/>
    <m/>
    <x v="1"/>
    <x v="0"/>
    <x v="8"/>
    <n v="0.85"/>
    <n v="1912.5"/>
    <x v="24"/>
    <x v="6"/>
    <x v="1"/>
    <m/>
    <n v="4"/>
    <n v="2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12"/>
    <x v="0"/>
    <x v="0"/>
    <m/>
    <n v="4"/>
    <n v="7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0"/>
    <x v="0"/>
    <x v="0"/>
    <m/>
    <n v="4"/>
    <n v="7"/>
    <m/>
  </r>
  <r>
    <s v="Planta"/>
    <d v="2026-01-20T00:00:00"/>
    <s v="PRODUCTOS QUIMICOS"/>
    <n v="26.54"/>
    <x v="1"/>
    <x v="9"/>
    <s v="La Industrial Salinera"/>
    <x v="0"/>
    <x v="1"/>
    <x v="9"/>
    <n v="68.941979522184297"/>
    <n v="1829.7201365187711"/>
    <x v="26"/>
    <x v="0"/>
    <x v="0"/>
    <m/>
    <n v="4"/>
    <n v="8"/>
    <m/>
  </r>
  <r>
    <s v="Planta"/>
    <d v="2026-01-20T00:00:00"/>
    <s v="PRODUCTOS QUIMICOS"/>
    <n v="33.200000000000003"/>
    <x v="1"/>
    <x v="9"/>
    <s v="La Industrial Salinera"/>
    <x v="0"/>
    <x v="1"/>
    <x v="9"/>
    <n v="68.941979522184297"/>
    <n v="2288.8737201365188"/>
    <x v="27"/>
    <x v="0"/>
    <x v="0"/>
    <m/>
    <n v="4"/>
    <n v="8"/>
    <m/>
  </r>
  <r>
    <s v="Planta"/>
    <d v="2026-01-20T00:00:00"/>
    <s v="PRODUCTOS QUIMICOS"/>
    <n v="34.200000000000003"/>
    <x v="1"/>
    <x v="9"/>
    <s v="La Industrial Salinera"/>
    <x v="0"/>
    <x v="1"/>
    <x v="9"/>
    <n v="68.941979522184297"/>
    <n v="2357.8156996587031"/>
    <x v="28"/>
    <x v="0"/>
    <x v="0"/>
    <m/>
    <n v="4"/>
    <n v="9"/>
    <m/>
  </r>
  <r>
    <s v="Planta"/>
    <d v="2026-01-20T00:00:00"/>
    <s v="PRODUCTOS QUIMICOS"/>
    <n v="35.880000000000003"/>
    <x v="1"/>
    <x v="9"/>
    <s v="La Industrial Salinera"/>
    <x v="0"/>
    <x v="1"/>
    <x v="9"/>
    <n v="68.941979522184297"/>
    <n v="2473.6382252559729"/>
    <x v="29"/>
    <x v="0"/>
    <x v="0"/>
    <m/>
    <n v="4"/>
    <n v="9"/>
    <m/>
  </r>
  <r>
    <s v="Planta"/>
    <d v="2026-01-20T00:00:00"/>
    <s v="PRODUCTOS QUIMICOS"/>
    <n v="34.299999999999997"/>
    <x v="1"/>
    <x v="9"/>
    <s v="La Industrial Salinera"/>
    <x v="0"/>
    <x v="1"/>
    <x v="9"/>
    <n v="68.941979522184297"/>
    <n v="2364.7098976109214"/>
    <x v="30"/>
    <x v="1"/>
    <x v="0"/>
    <m/>
    <n v="4"/>
    <n v="10"/>
    <m/>
  </r>
  <r>
    <s v="Planta"/>
    <d v="2026-01-20T00:00:00"/>
    <s v="PRODUCTOS QUIMICOS"/>
    <n v="39.299999999999997"/>
    <x v="1"/>
    <x v="9"/>
    <s v="La Industrial Salinera"/>
    <x v="0"/>
    <x v="1"/>
    <x v="9"/>
    <n v="68.941979522184297"/>
    <n v="2709.4197952218428"/>
    <x v="31"/>
    <x v="1"/>
    <x v="0"/>
    <m/>
    <n v="4"/>
    <n v="10"/>
    <m/>
  </r>
  <r>
    <s v="Planta"/>
    <d v="2026-01-20T00:00:00"/>
    <s v="PRODUCTOS QUIMICOS"/>
    <n v="27.96"/>
    <x v="1"/>
    <x v="9"/>
    <s v="La Industrial Salinera"/>
    <x v="0"/>
    <x v="1"/>
    <x v="9"/>
    <n v="68.941979522184297"/>
    <n v="1927.617747440273"/>
    <x v="8"/>
    <x v="1"/>
    <x v="0"/>
    <m/>
    <n v="4"/>
    <n v="11"/>
    <m/>
  </r>
  <r>
    <s v="Planta"/>
    <d v="2026-01-20T00:00:00"/>
    <s v="PRODUCTOS QUIMICOS"/>
    <n v="30.58"/>
    <x v="1"/>
    <x v="9"/>
    <s v="La Industrial Salinera"/>
    <x v="0"/>
    <x v="1"/>
    <x v="9"/>
    <n v="68.941979522184297"/>
    <n v="2108.2457337883957"/>
    <x v="32"/>
    <x v="1"/>
    <x v="0"/>
    <m/>
    <n v="4"/>
    <n v="11"/>
    <m/>
  </r>
  <r>
    <s v="Planta"/>
    <d v="2026-01-20T00:00:00"/>
    <s v="PRODUCTOS QUIMICOS"/>
    <n v="31.62"/>
    <x v="1"/>
    <x v="9"/>
    <s v="La Industrial Salinera"/>
    <x v="0"/>
    <x v="1"/>
    <x v="9"/>
    <n v="68.941979522184297"/>
    <n v="2179.9453924914674"/>
    <x v="33"/>
    <x v="1"/>
    <x v="0"/>
    <s v="R-1-40883"/>
    <n v="4"/>
    <n v="12"/>
    <m/>
  </r>
  <r>
    <s v="Planta"/>
    <d v="2026-01-20T00:00:00"/>
    <s v="PRODUCTOS QUIMICOS"/>
    <n v="28"/>
    <x v="1"/>
    <x v="9"/>
    <s v="La Industrial Salinera"/>
    <x v="0"/>
    <x v="1"/>
    <x v="9"/>
    <n v="68.941979522184297"/>
    <n v="1930.3754266211604"/>
    <x v="34"/>
    <x v="1"/>
    <x v="0"/>
    <s v="R-1-40859"/>
    <n v="4"/>
    <n v="12"/>
    <m/>
  </r>
  <r>
    <s v="Planta"/>
    <d v="2026-01-20T00:00:00"/>
    <s v="PRODUCTOS QUIMICOS"/>
    <n v="37.96"/>
    <x v="1"/>
    <x v="9"/>
    <s v="La Industrial Salinera"/>
    <x v="0"/>
    <x v="1"/>
    <x v="9"/>
    <n v="68.941979522184297"/>
    <n v="2617.0375426621158"/>
    <x v="35"/>
    <x v="1"/>
    <x v="0"/>
    <s v="R-1-40971"/>
    <n v="4"/>
    <n v="13"/>
    <m/>
  </r>
  <r>
    <s v="Planta"/>
    <d v="2026-01-20T00:00:00"/>
    <s v="PRODUCTOS QUIMICOS"/>
    <n v="30.16"/>
    <x v="1"/>
    <x v="9"/>
    <s v="La Industrial Salinera"/>
    <x v="0"/>
    <x v="1"/>
    <x v="9"/>
    <n v="68.941979522184297"/>
    <n v="2079.2901023890786"/>
    <x v="3"/>
    <x v="1"/>
    <x v="0"/>
    <s v="R-1-41030"/>
    <n v="4"/>
    <n v="13"/>
    <m/>
  </r>
  <r>
    <s v="Planta"/>
    <d v="2026-01-20T00:00:00"/>
    <s v="PRODUCTOS QUIMICOS"/>
    <n v="31.54"/>
    <x v="1"/>
    <x v="9"/>
    <s v="La Industrial Salinera"/>
    <x v="0"/>
    <x v="1"/>
    <x v="9"/>
    <n v="68.941979522184297"/>
    <n v="2174.4300341296926"/>
    <x v="36"/>
    <x v="1"/>
    <x v="0"/>
    <s v="R-1-40997"/>
    <n v="4"/>
    <n v="14"/>
    <m/>
  </r>
  <r>
    <s v="Planta"/>
    <d v="2026-01-20T00:00:00"/>
    <s v="PRODUCTOS QUIMICOS"/>
    <n v="35.44"/>
    <x v="1"/>
    <x v="9"/>
    <s v="La Industrial Salinera"/>
    <x v="0"/>
    <x v="1"/>
    <x v="9"/>
    <n v="68.941979522184297"/>
    <n v="2443.3037542662114"/>
    <x v="6"/>
    <x v="1"/>
    <x v="0"/>
    <s v="R-1-41041"/>
    <n v="4"/>
    <n v="14"/>
    <m/>
  </r>
  <r>
    <s v="Planta"/>
    <d v="2026-01-20T00:00:00"/>
    <s v="PRODUCTOS QUIMICOS"/>
    <n v="34.1"/>
    <x v="1"/>
    <x v="9"/>
    <s v="La Industrial Salinera"/>
    <x v="0"/>
    <x v="1"/>
    <x v="9"/>
    <n v="68.941979522184297"/>
    <n v="2350.9215017064848"/>
    <x v="37"/>
    <x v="1"/>
    <x v="0"/>
    <s v="R-1-41052"/>
    <n v="4"/>
    <n v="15"/>
    <m/>
  </r>
  <r>
    <s v="Planta"/>
    <d v="2026-01-20T00:00:00"/>
    <s v="PRODUCTOS QUIMICOS"/>
    <n v="36.36"/>
    <x v="1"/>
    <x v="9"/>
    <s v="La Industrial Salinera"/>
    <x v="0"/>
    <x v="1"/>
    <x v="9"/>
    <n v="68.941979522184297"/>
    <n v="2506.7303754266209"/>
    <x v="38"/>
    <x v="3"/>
    <x v="0"/>
    <s v="R-1-41068"/>
    <n v="4"/>
    <n v="15"/>
    <m/>
  </r>
  <r>
    <s v="Planta"/>
    <d v="2026-01-20T00:00:00"/>
    <s v="PRODUCTOS QUIMICOS"/>
    <n v="30"/>
    <x v="1"/>
    <x v="9"/>
    <s v="La Industrial Salinera"/>
    <x v="0"/>
    <x v="1"/>
    <x v="9"/>
    <n v="68.941979522184297"/>
    <n v="2068.259385665529"/>
    <x v="39"/>
    <x v="3"/>
    <x v="0"/>
    <s v="R-1-41099"/>
    <n v="4"/>
    <n v="16"/>
    <m/>
  </r>
  <r>
    <s v="Planta"/>
    <d v="2026-01-20T00:00:00"/>
    <s v="PRODUCTOS QUIMICOS"/>
    <n v="36.96"/>
    <x v="1"/>
    <x v="9"/>
    <s v="La Industrial Salinera"/>
    <x v="0"/>
    <x v="1"/>
    <x v="9"/>
    <n v="68.941979522184297"/>
    <n v="2548.0955631399315"/>
    <x v="40"/>
    <x v="3"/>
    <x v="0"/>
    <s v="R-1-41130"/>
    <n v="4"/>
    <n v="16"/>
    <m/>
  </r>
  <r>
    <s v="Planta"/>
    <d v="2026-01-20T00:00:00"/>
    <s v="PRODUCTOS QUIMICOS"/>
    <n v="32.42"/>
    <x v="1"/>
    <x v="9"/>
    <s v="La Industrial Salinera"/>
    <x v="0"/>
    <x v="1"/>
    <x v="9"/>
    <n v="68.941979522184297"/>
    <n v="2235.0989761092151"/>
    <x v="41"/>
    <x v="3"/>
    <x v="0"/>
    <s v="R-1-41138"/>
    <n v="4"/>
    <n v="17"/>
    <m/>
  </r>
  <r>
    <s v="Planta"/>
    <d v="2026-01-20T00:00:00"/>
    <s v="PRODUCTOS QUIMICOS"/>
    <n v="33.78"/>
    <x v="1"/>
    <x v="9"/>
    <s v="La Industrial Salinera"/>
    <x v="0"/>
    <x v="1"/>
    <x v="9"/>
    <n v="68.941979522184297"/>
    <n v="2328.8600682593856"/>
    <x v="42"/>
    <x v="3"/>
    <x v="0"/>
    <s v="R-1-41202"/>
    <n v="4"/>
    <n v="17"/>
    <m/>
  </r>
  <r>
    <s v="Planta"/>
    <d v="2026-01-20T00:00:00"/>
    <s v="PRODUCTOS QUIMICOS"/>
    <n v="30.2"/>
    <x v="1"/>
    <x v="9"/>
    <s v="La Industrial Salinera"/>
    <x v="0"/>
    <x v="1"/>
    <x v="9"/>
    <n v="68.941979522184297"/>
    <n v="2082.0477815699655"/>
    <x v="43"/>
    <x v="3"/>
    <x v="0"/>
    <s v="R-1-41223"/>
    <n v="4"/>
    <n v="18"/>
    <m/>
  </r>
  <r>
    <s v="Planta"/>
    <d v="2026-01-20T00:00:00"/>
    <s v="PRODUCTOS QUIMICOS"/>
    <n v="32.32"/>
    <x v="1"/>
    <x v="9"/>
    <s v="La Industrial Salinera"/>
    <x v="0"/>
    <x v="1"/>
    <x v="9"/>
    <n v="68.941979522184297"/>
    <n v="2228.2047781569963"/>
    <x v="44"/>
    <x v="3"/>
    <x v="0"/>
    <s v="R-1-41269"/>
    <n v="4"/>
    <n v="18"/>
    <m/>
  </r>
  <r>
    <s v="Planta"/>
    <d v="2026-01-20T00:00:00"/>
    <s v="PRODUCTOS QUIMICOS"/>
    <n v="32.06"/>
    <x v="1"/>
    <x v="9"/>
    <s v="La Industrial Salinera"/>
    <x v="0"/>
    <x v="1"/>
    <x v="9"/>
    <n v="68.941979522184297"/>
    <n v="2210.2798634812289"/>
    <x v="45"/>
    <x v="2"/>
    <x v="0"/>
    <s v="R-1-41293"/>
    <n v="4"/>
    <n v="19"/>
    <m/>
  </r>
  <r>
    <s v="Planta"/>
    <d v="2026-01-20T00:00:00"/>
    <s v="PRODUCTOS QUIMICOS"/>
    <n v="29.92"/>
    <x v="1"/>
    <x v="9"/>
    <s v="La Industrial Salinera"/>
    <x v="0"/>
    <x v="1"/>
    <x v="9"/>
    <n v="68.941979522184297"/>
    <n v="2062.7440273037541"/>
    <x v="46"/>
    <x v="2"/>
    <x v="0"/>
    <s v="R-1-41309"/>
    <n v="4"/>
    <n v="19"/>
    <m/>
  </r>
  <r>
    <s v="Planta"/>
    <d v="2026-01-20T00:00:00"/>
    <s v="PRODUCTOS QUIMICOS"/>
    <n v="28.14"/>
    <x v="1"/>
    <x v="9"/>
    <s v="La Industrial Salinera"/>
    <x v="0"/>
    <x v="1"/>
    <x v="9"/>
    <n v="68.941979522184297"/>
    <n v="1940.0273037542661"/>
    <x v="47"/>
    <x v="3"/>
    <x v="0"/>
    <s v="R-1-41333"/>
    <n v="4"/>
    <n v="20"/>
    <m/>
  </r>
  <r>
    <s v="Planta"/>
    <d v="2026-01-20T00:00:00"/>
    <s v="PRODUCTOS QUIMICOS"/>
    <n v="28.8"/>
    <x v="1"/>
    <x v="9"/>
    <s v="La Industrial Salinera"/>
    <x v="0"/>
    <x v="1"/>
    <x v="9"/>
    <n v="68.941979522184297"/>
    <n v="1985.5290102389079"/>
    <x v="48"/>
    <x v="3"/>
    <x v="0"/>
    <s v="R-1-41360"/>
    <n v="4"/>
    <n v="20"/>
    <m/>
  </r>
  <r>
    <s v="Planta"/>
    <d v="2026-01-20T00:00:00"/>
    <s v="PRODUCTOS QUIMICOS"/>
    <n v="29.36"/>
    <x v="1"/>
    <x v="9"/>
    <s v="La Industrial Salinera"/>
    <x v="0"/>
    <x v="1"/>
    <x v="9"/>
    <n v="68.941979522184297"/>
    <n v="2024.1365187713309"/>
    <x v="13"/>
    <x v="2"/>
    <x v="0"/>
    <s v="R-1-41379"/>
    <n v="4"/>
    <n v="21"/>
    <m/>
  </r>
  <r>
    <s v="Planta"/>
    <d v="2026-01-20T00:00:00"/>
    <s v="PRODUCTOS QUIMICOS"/>
    <n v="29.66"/>
    <x v="1"/>
    <x v="9"/>
    <s v="La Industrial Salinera"/>
    <x v="0"/>
    <x v="1"/>
    <x v="9"/>
    <n v="68.941979522184297"/>
    <n v="2044.8191126279862"/>
    <x v="49"/>
    <x v="2"/>
    <x v="0"/>
    <s v="R-1-41396"/>
    <n v="4"/>
    <n v="21"/>
    <m/>
  </r>
  <r>
    <s v="Planta"/>
    <d v="2026-01-20T00:00:00"/>
    <s v="PRODUCTOS QUIMICOS"/>
    <n v="31.3"/>
    <x v="1"/>
    <x v="9"/>
    <s v="La Industrial Salinera"/>
    <x v="0"/>
    <x v="1"/>
    <x v="9"/>
    <n v="68.941979522184297"/>
    <n v="2157.8839590443686"/>
    <x v="50"/>
    <x v="2"/>
    <x v="0"/>
    <s v="R-1-41420"/>
    <n v="4"/>
    <n v="22"/>
    <m/>
  </r>
  <r>
    <s v="Planta"/>
    <d v="2026-01-20T00:00:00"/>
    <s v="PRODUCTOS QUIMICOS"/>
    <n v="28.38"/>
    <x v="1"/>
    <x v="9"/>
    <s v="La Industrial Salinera"/>
    <x v="0"/>
    <x v="1"/>
    <x v="9"/>
    <n v="68.941979522184297"/>
    <n v="1956.5733788395903"/>
    <x v="51"/>
    <x v="2"/>
    <x v="0"/>
    <s v="R-1-41479"/>
    <m/>
    <m/>
    <m/>
  </r>
  <r>
    <m/>
    <d v="2026-01-21T00:00:00"/>
    <s v="PRODUCTOS QUIMICOS"/>
    <n v="32.119999999999997"/>
    <x v="1"/>
    <x v="9"/>
    <s v="La Industrial Salinera"/>
    <x v="0"/>
    <x v="1"/>
    <x v="9"/>
    <n v="68.941979522184297"/>
    <n v="2214.4163822525593"/>
    <x v="16"/>
    <x v="2"/>
    <x v="0"/>
    <s v="R-1-41571"/>
    <m/>
    <m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2"/>
    <x v="0"/>
    <x v="0"/>
    <m/>
    <n v="4"/>
    <n v="8"/>
    <m/>
  </r>
  <r>
    <s v="Planta"/>
    <d v="2026-01-20T00:00:00"/>
    <s v="PRODUCTOS QUIMICOS"/>
    <n v="28.28"/>
    <x v="1"/>
    <x v="10"/>
    <s v="La Industrial Salinera"/>
    <x v="0"/>
    <x v="1"/>
    <x v="10"/>
    <n v="93.856655290102395"/>
    <n v="2654.266211604096"/>
    <x v="53"/>
    <x v="0"/>
    <x v="0"/>
    <m/>
    <n v="4"/>
    <n v="9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4"/>
    <x v="1"/>
    <x v="0"/>
    <m/>
    <n v="4"/>
    <n v="12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5"/>
    <x v="1"/>
    <x v="0"/>
    <s v="R-1-40923"/>
    <n v="4"/>
    <n v="14"/>
    <m/>
  </r>
  <r>
    <s v="Planta"/>
    <d v="2026-01-20T00:00:00"/>
    <s v="PRODUCTOS QUIMICOS"/>
    <n v="28"/>
    <x v="1"/>
    <x v="10"/>
    <s v="La Industrial Salinera"/>
    <x v="0"/>
    <x v="1"/>
    <x v="10"/>
    <n v="93.856655290102395"/>
    <n v="2627.9863481228672"/>
    <x v="56"/>
    <x v="3"/>
    <x v="0"/>
    <m/>
    <n v="4"/>
    <n v="15"/>
    <m/>
  </r>
  <r>
    <s v="Planta"/>
    <d v="2026-01-20T00:00:00"/>
    <s v="PRODUCTOS QUIMICOS"/>
    <n v="27.6"/>
    <x v="1"/>
    <x v="10"/>
    <s v="La Industrial Salinera"/>
    <x v="0"/>
    <x v="1"/>
    <x v="10"/>
    <n v="93.856655290102395"/>
    <n v="2590.4436860068263"/>
    <x v="44"/>
    <x v="3"/>
    <x v="0"/>
    <s v="R-1-41270"/>
    <n v="4"/>
    <n v="17"/>
    <m/>
  </r>
  <r>
    <s v="Planta"/>
    <d v="2026-01-20T00:00:00"/>
    <s v="PRODUCTOS QUIMICOS"/>
    <n v="14.8"/>
    <x v="1"/>
    <x v="10"/>
    <s v="La Industrial Salinera"/>
    <x v="0"/>
    <x v="1"/>
    <x v="10"/>
    <n v="93.856655290102395"/>
    <n v="1389.0784982935156"/>
    <x v="4"/>
    <x v="2"/>
    <x v="0"/>
    <s v="R-1-41507"/>
    <m/>
    <m/>
    <m/>
  </r>
  <r>
    <m/>
    <d v="2026-01-21T00:00:00"/>
    <s v="PRODUCTOS QUIMICOS"/>
    <n v="14.8"/>
    <x v="1"/>
    <x v="11"/>
    <s v="La Industrial Salinera"/>
    <x v="0"/>
    <x v="1"/>
    <x v="11"/>
    <n v="105.80204778156997"/>
    <n v="1565.8703071672355"/>
    <x v="4"/>
    <x v="2"/>
    <x v="0"/>
    <s v="R-1-41507"/>
    <m/>
    <m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7"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10"/>
    <m/>
  </r>
  <r>
    <s v="Planta"/>
    <d v="2026-01-22T00:00:00"/>
    <s v="PRODUCTOS QUIMICOS"/>
    <n v="775"/>
    <x v="0"/>
    <x v="12"/>
    <m/>
    <x v="1"/>
    <x v="0"/>
    <x v="12"/>
    <n v="2.95"/>
    <n v="2286.25"/>
    <x v="22"/>
    <x v="5"/>
    <x v="1"/>
    <m/>
    <n v="4"/>
    <n v="14"/>
    <m/>
  </r>
  <r>
    <m/>
    <d v="2026-01-23T00:00:00"/>
    <s v="PRODUCTOS QUIMICOS"/>
    <n v="100"/>
    <x v="0"/>
    <x v="12"/>
    <s v="DSI"/>
    <x v="1"/>
    <x v="0"/>
    <x v="12"/>
    <n v="2.95"/>
    <n v="295"/>
    <x v="10"/>
    <x v="2"/>
    <x v="0"/>
    <s v="R-17-179"/>
    <m/>
    <m/>
    <m/>
  </r>
  <r>
    <s v="Planta"/>
    <d v="2026-01-22T00:00:00"/>
    <s v="PRODUCTOS QUIMICOS"/>
    <n v="875"/>
    <x v="0"/>
    <x v="12"/>
    <m/>
    <x v="1"/>
    <x v="0"/>
    <x v="12"/>
    <n v="2.95"/>
    <n v="2581.25"/>
    <x v="57"/>
    <x v="6"/>
    <x v="1"/>
    <m/>
    <n v="4"/>
    <n v="18"/>
    <m/>
  </r>
  <r>
    <s v="Planta"/>
    <d v="2026-01-22T00:00:00"/>
    <s v="PRODUCTOS QUIMICOS"/>
    <n v="254"/>
    <x v="0"/>
    <x v="13"/>
    <s v="Quiroga"/>
    <x v="1"/>
    <x v="0"/>
    <x v="13"/>
    <n v="2.1156999999999999"/>
    <n v="537.38779999999997"/>
    <x v="58"/>
    <x v="0"/>
    <x v="0"/>
    <m/>
    <m/>
    <m/>
    <m/>
  </r>
  <r>
    <s v="Planta"/>
    <d v="2026-01-22T00:00:00"/>
    <s v="PRODUCTOS QUIMICOS"/>
    <n v="520"/>
    <x v="0"/>
    <x v="13"/>
    <s v="Zalazar"/>
    <x v="1"/>
    <x v="0"/>
    <x v="13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3"/>
    <s v="Zalazar"/>
    <x v="1"/>
    <x v="0"/>
    <x v="13"/>
    <n v="2.1156999999999999"/>
    <n v="1692.56"/>
    <x v="55"/>
    <x v="1"/>
    <x v="0"/>
    <s v="R-1-1019"/>
    <n v="4"/>
    <n v="10"/>
    <m/>
  </r>
  <r>
    <s v="Planta"/>
    <d v="2026-01-23T00:00:00"/>
    <s v="PRODUCTOS QUIMICOS"/>
    <n v="1000"/>
    <x v="0"/>
    <x v="13"/>
    <m/>
    <x v="1"/>
    <x v="0"/>
    <x v="13"/>
    <n v="2.1156999999999999"/>
    <n v="2115.6999999999998"/>
    <x v="13"/>
    <x v="2"/>
    <x v="0"/>
    <m/>
    <m/>
    <m/>
    <m/>
  </r>
  <r>
    <m/>
    <d v="2026-01-24T00:00:00"/>
    <s v="PRODUCTOS QUIMICOS"/>
    <n v="800"/>
    <x v="0"/>
    <x v="13"/>
    <m/>
    <x v="1"/>
    <x v="0"/>
    <x v="13"/>
    <n v="2.1156999999999999"/>
    <n v="1692.56"/>
    <x v="59"/>
    <x v="5"/>
    <x v="2"/>
    <m/>
    <m/>
    <m/>
    <m/>
  </r>
  <r>
    <s v="Planta"/>
    <d v="2026-01-22T00:00:00"/>
    <s v="PRODUCTOS QUIMICOS"/>
    <n v="1900"/>
    <x v="0"/>
    <x v="13"/>
    <m/>
    <x v="1"/>
    <x v="0"/>
    <x v="13"/>
    <n v="2.1156999999999999"/>
    <n v="4019.83"/>
    <x v="60"/>
    <x v="5"/>
    <x v="1"/>
    <m/>
    <n v="4"/>
    <n v="14"/>
    <m/>
  </r>
  <r>
    <s v="Planta"/>
    <d v="2026-01-22T00:00:00"/>
    <s v="PRODUCTOS QUIMICOS"/>
    <n v="1900"/>
    <x v="0"/>
    <x v="13"/>
    <m/>
    <x v="1"/>
    <x v="0"/>
    <x v="13"/>
    <n v="2.1156999999999999"/>
    <n v="4019.83"/>
    <x v="61"/>
    <x v="6"/>
    <x v="1"/>
    <m/>
    <n v="4"/>
    <n v="18"/>
    <m/>
  </r>
  <r>
    <s v="Planta"/>
    <d v="2026-01-19T00:00:00"/>
    <s v="PRODUCTOS QUIMICOS"/>
    <n v="17000"/>
    <x v="0"/>
    <x v="14"/>
    <s v="Laboratorio Quimicos SRL"/>
    <x v="0"/>
    <x v="0"/>
    <x v="14"/>
    <n v="1.2"/>
    <n v="20400"/>
    <x v="25"/>
    <x v="4"/>
    <x v="0"/>
    <m/>
    <n v="4"/>
    <n v="3"/>
    <s v="A-2-7312"/>
  </r>
  <r>
    <s v="Planta"/>
    <d v="2026-01-19T00:00:00"/>
    <s v="PRODUCTOS QUIMICOS"/>
    <n v="20000"/>
    <x v="0"/>
    <x v="14"/>
    <s v="Quimica Mega"/>
    <x v="0"/>
    <x v="0"/>
    <x v="14"/>
    <n v="1.2"/>
    <n v="24000"/>
    <x v="62"/>
    <x v="4"/>
    <x v="0"/>
    <m/>
    <n v="4"/>
    <n v="1"/>
    <s v="A-2-52697"/>
  </r>
  <r>
    <s v="Planta"/>
    <d v="2026-01-20T00:00:00"/>
    <s v="PRODUCTOS QUIMICOS"/>
    <n v="28800"/>
    <x v="0"/>
    <x v="14"/>
    <s v="Quimica Mega"/>
    <x v="0"/>
    <x v="0"/>
    <x v="14"/>
    <n v="1.2"/>
    <n v="34560"/>
    <x v="63"/>
    <x v="1"/>
    <x v="0"/>
    <s v="R-1-140000"/>
    <n v="4"/>
    <n v="9"/>
    <m/>
  </r>
  <r>
    <s v="Planta"/>
    <d v="2026-01-20T00:00:00"/>
    <s v="PRODUCTOS QUIMICOS"/>
    <n v="26500"/>
    <x v="0"/>
    <x v="14"/>
    <s v="Quimica Mega"/>
    <x v="0"/>
    <x v="0"/>
    <x v="14"/>
    <n v="1.2"/>
    <n v="31800"/>
    <x v="64"/>
    <x v="3"/>
    <x v="0"/>
    <s v="R-1-140038"/>
    <n v="4"/>
    <n v="12"/>
    <m/>
  </r>
  <r>
    <s v="Planta"/>
    <d v="2026-04-15T00:00:00"/>
    <s v="PRODUCTOS QUIMICOS"/>
    <n v="10500"/>
    <x v="0"/>
    <x v="14"/>
    <s v="Quimica Mega"/>
    <x v="0"/>
    <x v="0"/>
    <x v="14"/>
    <n v="1.2"/>
    <n v="12600"/>
    <x v="5"/>
    <x v="3"/>
    <x v="0"/>
    <s v="R-1-140116"/>
    <m/>
    <m/>
    <m/>
  </r>
  <r>
    <s v="Planta"/>
    <d v="2026-04-23T00:00:00"/>
    <s v="PRODUCTOS QUIMICOS"/>
    <n v="5000"/>
    <x v="0"/>
    <x v="14"/>
    <s v="Laboratorio Quimicos SRL"/>
    <x v="0"/>
    <x v="0"/>
    <x v="14"/>
    <n v="1.2"/>
    <n v="6000"/>
    <x v="65"/>
    <x v="3"/>
    <x v="0"/>
    <s v="R-1-17884 (para devolución)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2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3"/>
    <m/>
    <m/>
    <m/>
  </r>
  <r>
    <s v="Planta"/>
    <d v="2026-01-20T00:00:00"/>
    <s v="PRODUCTOS QUIMICOS"/>
    <n v="75"/>
    <x v="0"/>
    <x v="15"/>
    <s v="Sabatini Daniel"/>
    <x v="1"/>
    <x v="0"/>
    <x v="15"/>
    <n v="4.5"/>
    <n v="337.5"/>
    <x v="35"/>
    <x v="1"/>
    <x v="0"/>
    <m/>
    <n v="4"/>
    <n v="7"/>
    <m/>
  </r>
  <r>
    <s v="Planta"/>
    <d v="2026-01-20T00:00:00"/>
    <s v="PRODUCTOS QUIMICOS"/>
    <n v="400"/>
    <x v="0"/>
    <x v="15"/>
    <s v="Quimica Mega"/>
    <x v="1"/>
    <x v="0"/>
    <x v="15"/>
    <n v="4.5"/>
    <n v="1800"/>
    <x v="6"/>
    <x v="1"/>
    <x v="0"/>
    <s v="R-1-139980"/>
    <m/>
    <m/>
    <m/>
  </r>
  <r>
    <s v="Planta"/>
    <d v="2026-01-20T00:00:00"/>
    <s v="PRODUCTOS QUIMICOS"/>
    <n v="250"/>
    <x v="0"/>
    <x v="15"/>
    <s v="DSI"/>
    <x v="1"/>
    <x v="0"/>
    <x v="15"/>
    <n v="4.5"/>
    <n v="1125"/>
    <x v="66"/>
    <x v="2"/>
    <x v="0"/>
    <s v="R-17-179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5"/>
    <x v="3"/>
    <x v="0"/>
    <s v="R-1-140116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17"/>
    <x v="2"/>
    <x v="0"/>
    <s v="R-1-14004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1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 insertBlankRow="1" defaultSubtotal="0">
      <items count="7">
        <item h="1" x="4"/>
        <item h="1" x="0"/>
        <item x="1"/>
        <item x="3"/>
        <item x="2"/>
        <item x="5"/>
        <item x="6"/>
      </items>
    </pivotField>
    <pivotField axis="axisRow" compact="0" outline="0" showAll="0" defaultSubtotal="0">
      <items count="3">
        <item h="1" x="0"/>
        <item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8">
    <i>
      <x v="4"/>
      <x v="1"/>
      <x v="3"/>
      <x v="146"/>
    </i>
    <i r="2">
      <x v="5"/>
      <x v="136"/>
    </i>
    <i r="2">
      <x v="6"/>
      <x v="141"/>
    </i>
    <i t="blank">
      <x v="4"/>
    </i>
    <i>
      <x v="5"/>
      <x v="1"/>
      <x v="5"/>
      <x v="167"/>
    </i>
    <i r="2">
      <x v="6"/>
      <x v="167"/>
    </i>
    <i r="2">
      <x v="8"/>
      <x v="157"/>
    </i>
    <i r="3">
      <x v="172"/>
    </i>
    <i r="2">
      <x v="11"/>
      <x v="172"/>
    </i>
    <i r="2">
      <x v="12"/>
      <x v="164"/>
    </i>
    <i t="blank">
      <x v="5"/>
    </i>
    <i>
      <x v="6"/>
      <x v="1"/>
      <x v="5"/>
      <x v="197"/>
    </i>
    <i r="2">
      <x v="6"/>
      <x v="197"/>
    </i>
    <i r="2">
      <x v="8"/>
      <x v="183"/>
    </i>
    <i r="2">
      <x v="11"/>
      <x v="202"/>
    </i>
    <i r="2">
      <x v="12"/>
      <x v="192"/>
    </i>
    <i t="blank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36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35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34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F22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h="1" x="0"/>
        <item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4">
    <field x="7"/>
    <field x="5"/>
    <field x="4"/>
    <field x="13"/>
  </rowFields>
  <rowItems count="18">
    <i>
      <x v="1"/>
      <x v="5"/>
      <x/>
      <x v="4"/>
    </i>
    <i r="3">
      <x v="5"/>
    </i>
    <i r="3">
      <x v="6"/>
    </i>
    <i r="1">
      <x v="6"/>
      <x/>
      <x v="4"/>
    </i>
    <i r="3">
      <x v="5"/>
    </i>
    <i r="3">
      <x v="6"/>
    </i>
    <i r="1">
      <x v="8"/>
      <x/>
      <x v="5"/>
    </i>
    <i r="3">
      <x v="6"/>
    </i>
    <i r="1">
      <x v="11"/>
      <x/>
      <x v="5"/>
    </i>
    <i r="3">
      <x v="6"/>
    </i>
    <i r="1">
      <x v="12"/>
      <x/>
      <x v="5"/>
    </i>
    <i r="3">
      <x v="6"/>
    </i>
    <i t="default">
      <x v="1"/>
    </i>
    <i t="blank">
      <x v="1"/>
    </i>
    <i>
      <x v="3"/>
      <x v="3"/>
      <x/>
      <x v="4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33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32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3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sd="0"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26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25">
      <pivotArea outline="0" fieldPosition="0">
        <references count="1">
          <reference field="7" count="1" selected="0">
            <x v="1"/>
          </reference>
        </references>
      </pivotArea>
    </format>
    <format dxfId="24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8"/>
        <item x="14"/>
        <item x="2"/>
        <item x="0"/>
        <item x="13"/>
        <item x="4"/>
        <item x="12"/>
        <item x="5"/>
        <item m="1" x="21"/>
        <item x="15"/>
        <item m="1" x="16"/>
        <item m="1" x="19"/>
        <item m="1" x="22"/>
        <item x="1"/>
        <item m="1" x="18"/>
        <item m="1" x="20"/>
        <item x="9"/>
        <item x="10"/>
        <item x="3"/>
        <item x="7"/>
        <item x="11"/>
        <item x="6"/>
      </items>
    </pivotField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2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71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7">
    <i>
      <x v="1"/>
      <x/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2">
      <x v="14"/>
      <x/>
      <x v="2"/>
    </i>
    <i r="4">
      <x v="3"/>
    </i>
    <i r="4">
      <x v="4"/>
    </i>
    <i t="default" r="1">
      <x/>
    </i>
    <i r="1">
      <x v="1"/>
      <x v="5"/>
      <x/>
      <x v="4"/>
    </i>
    <i r="4">
      <x v="5"/>
    </i>
    <i r="4">
      <x v="6"/>
    </i>
    <i r="2">
      <x v="6"/>
      <x/>
      <x v="4"/>
    </i>
    <i r="4">
      <x v="5"/>
    </i>
    <i r="4">
      <x v="6"/>
    </i>
    <i r="2">
      <x v="8"/>
      <x/>
      <x v="5"/>
    </i>
    <i r="4">
      <x v="6"/>
    </i>
    <i r="2">
      <x v="11"/>
      <x/>
      <x v="5"/>
    </i>
    <i r="4">
      <x v="6"/>
    </i>
    <i r="2">
      <x v="12"/>
      <x/>
      <x v="5"/>
    </i>
    <i r="4">
      <x v="6"/>
    </i>
    <i t="default" r="1">
      <x v="1"/>
    </i>
    <i r="1">
      <x v="2"/>
      <x v="12"/>
      <x/>
      <x v="5"/>
    </i>
    <i t="default" r="1">
      <x v="2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4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21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20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1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8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7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6">
      <pivotArea outline="0" fieldPosition="0">
        <references count="1">
          <reference field="4294967294" count="1" selected="0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54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0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8"/>
      <x/>
    </i>
    <i t="default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14">
      <pivotArea field="7" grandRow="1" outline="0">
        <references count="1">
          <reference field="4294967294" count="1" selected="0">
            <x v="0"/>
          </reference>
        </references>
      </pivotArea>
    </format>
    <format dxfId="13">
      <pivotArea field="7" grandRow="1" outline="0">
        <references count="1">
          <reference field="4294967294" count="1" selected="0">
            <x v="0"/>
          </reference>
        </references>
      </pivotArea>
    </format>
    <format dxfId="12">
      <pivotArea field="7" grandRow="1" outline="0">
        <references count="1">
          <reference field="4294967294" count="1" selected="0">
            <x v="0"/>
          </reference>
        </references>
      </pivotArea>
    </format>
    <format dxfId="11">
      <pivotArea outline="0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8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5">
    <i>
      <x/>
    </i>
    <i r="1">
      <x/>
    </i>
    <i r="1">
      <x v="1"/>
    </i>
    <i r="1">
      <x v="2"/>
    </i>
    <i r="1">
      <x v="3"/>
    </i>
    <i r="1">
      <x v="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5"/>
    </i>
    <i r="1">
      <x v="6"/>
    </i>
    <i r="1">
      <x v="8"/>
    </i>
    <i r="1">
      <x v="11"/>
    </i>
    <i r="1">
      <x v="12"/>
    </i>
    <i>
      <x v="2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20" totalsRowShown="0" headerRowDxfId="45">
  <autoFilter ref="A9:S120" xr:uid="{E5B47BA6-BB55-47E1-A3AB-D1FA729258E9}"/>
  <sortState xmlns:xlrd2="http://schemas.microsoft.com/office/spreadsheetml/2017/richdata2" ref="A10:S119">
    <sortCondition ref="O9:O119"/>
  </sortState>
  <tableColumns count="19">
    <tableColumn id="1" xr3:uid="{ABC9D6B9-B435-44A8-AC1D-3A7F3684B351}" name="Solicita"/>
    <tableColumn id="2" xr3:uid="{D6EB60C5-1C40-47ED-9FB1-374E19B24E9A}" name="Fecha" dataDxfId="44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43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42" dataCellStyle="Moneda">
      <calculatedColumnFormula>IF(I10="$", J10/$H$1, IF(I10="U$D", J10*1, 0))</calculatedColumnFormula>
    </tableColumn>
    <tableColumn id="19" xr3:uid="{0C4F4870-64EC-4168-97BE-8674B96B82BB}" name="Total" dataDxfId="41" dataCellStyle="Moneda">
      <calculatedColumnFormula>Tabla1[[#This Row],[Importe]]*Tabla1[[#This Row],[Cantidad]]</calculatedColumnFormula>
    </tableColumn>
    <tableColumn id="11" xr3:uid="{2EA38B46-DCBE-4340-A2A4-DD6B043C95F4}" name="Fecha Entrega" dataDxfId="40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39">
  <autoFilter ref="A2:D18" xr:uid="{BF6A21D0-BF74-405C-816D-FF180DA65A53}"/>
  <tableColumns count="4">
    <tableColumn id="1" xr3:uid="{4C9ED8A6-DE10-4FC9-A1A8-C9C31853D309}" name="Descripcion" dataDxfId="38"/>
    <tableColumn id="2" xr3:uid="{17F4999B-AFFB-423F-81FC-E94D2D51FCC4}" name="U/M"/>
    <tableColumn id="4" xr3:uid="{AED66179-0481-4D19-8718-F67F09D2A74F}" name="Moneda"/>
    <tableColumn id="3" xr3:uid="{8D449BA5-7410-4173-AB96-0B1F4A36CC9F}" name="$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9" dataDxfId="8">
  <autoFilter ref="B2:H15" xr:uid="{8EB8C7E4-857A-45C7-8640-F7ED83B0E987}"/>
  <tableColumns count="7">
    <tableColumn id="1" xr3:uid="{48393E8F-75FE-4E2C-B5A6-0DA171776A4D}" name="Fecha" dataDxfId="7"/>
    <tableColumn id="2" xr3:uid="{963F1D5B-BEA1-44D4-93E6-186C3DBEAC18}" name="Tipo" dataDxfId="6"/>
    <tableColumn id="7" xr3:uid="{193244C5-51AA-4CBE-9C5C-987B16E24CCC}" name="Comprobante" dataDxfId="5"/>
    <tableColumn id="3" xr3:uid="{8FFB7E5E-DF58-448C-A2B8-F8E260D7153A}" name="TN" dataDxfId="4"/>
    <tableColumn id="4" xr3:uid="{87858EB0-F199-426F-9BD2-3508F9DACC9D}" name="$" dataDxfId="3" dataCellStyle="Moneda"/>
    <tableColumn id="5" xr3:uid="{DC37D9EF-761A-4BBE-A4AB-069249B5CE73}" name="$Total" dataDxfId="2" dataCellStyle="Moneda">
      <calculatedColumnFormula>F3*E3</calculatedColumnFormula>
    </tableColumn>
    <tableColumn id="6" xr3:uid="{66202679-348D-4EC3-8EBB-E8E14B182F31}" name="$IVA" dataDxfId="1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20"/>
  <sheetViews>
    <sheetView showGridLines="0" tabSelected="1" zoomScale="101" zoomScaleNormal="101" workbookViewId="0">
      <pane ySplit="9" topLeftCell="A94" activePane="bottomLeft" state="frozen"/>
      <selection pane="bottomLeft" activeCell="P4" sqref="P4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164</v>
      </c>
      <c r="H1" s="8">
        <v>1535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95</v>
      </c>
      <c r="K3" s="27">
        <f>SUM(L3:M3)</f>
        <v>315339.51140065148</v>
      </c>
      <c r="L3" s="28">
        <f>SUMIFS(L:L, H:H, "INSUMOS DE CAMPAÑA", O:O, "Cumplido")</f>
        <v>315339.51140065148</v>
      </c>
      <c r="M3" s="29">
        <f>SUMIFS(L:L, H:H, "INSUMOS DE CAMPAÑA", O:O, "Pendiente")</f>
        <v>0</v>
      </c>
    </row>
    <row r="4" spans="1:19" x14ac:dyDescent="0.25">
      <c r="J4" s="26" t="s">
        <v>166</v>
      </c>
      <c r="K4" s="30">
        <f>SUM(L4:M4)</f>
        <v>119223.0318</v>
      </c>
      <c r="L4" s="31">
        <f>SUMIFS(L:L, H:H, "PRODUCCION DE PASTA", O:O, "Cumplido")</f>
        <v>52656.511799999986</v>
      </c>
      <c r="M4" s="32">
        <f>SUMIFS(L:L, H:H, "PRODUCCION DE PASTA", O:O, "Pendiente")</f>
        <v>66566.52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93</v>
      </c>
      <c r="K6" s="34">
        <f>SUM(K3:K5)</f>
        <v>434562.54320065147</v>
      </c>
      <c r="L6" s="34">
        <f>SUM(L3:L5)</f>
        <v>367996.02320065146</v>
      </c>
      <c r="M6" s="35">
        <f>SUM(M3:M5)</f>
        <v>66566.52</v>
      </c>
    </row>
    <row r="7" spans="1:19" x14ac:dyDescent="0.25">
      <c r="J7" s="26" t="s">
        <v>94</v>
      </c>
      <c r="K7" s="36">
        <f>K6*H1</f>
        <v>667053503.81299996</v>
      </c>
      <c r="L7" s="36">
        <f>L6*H1</f>
        <v>564873895.61300004</v>
      </c>
      <c r="M7" s="37">
        <f>M6*H1</f>
        <v>102179608.2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1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140</v>
      </c>
      <c r="Q14">
        <v>4</v>
      </c>
      <c r="R14">
        <v>11</v>
      </c>
    </row>
    <row r="15" spans="1:19" x14ac:dyDescent="0.25"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177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155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140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143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142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143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142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143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154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180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183</v>
      </c>
    </row>
    <row r="28" spans="1:19" x14ac:dyDescent="0.25">
      <c r="A28" t="s">
        <v>17</v>
      </c>
      <c r="B28" s="1">
        <v>46041</v>
      </c>
      <c r="C28" t="s">
        <v>18</v>
      </c>
      <c r="D28">
        <v>5000</v>
      </c>
      <c r="E28" t="s">
        <v>19</v>
      </c>
      <c r="F28" t="s">
        <v>20</v>
      </c>
      <c r="G28" t="s">
        <v>21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2.4500000000000002</v>
      </c>
      <c r="K28" s="2">
        <f t="shared" si="0"/>
        <v>2.4500000000000002</v>
      </c>
      <c r="L28" s="2">
        <f>Tabla1[[#This Row],[Importe]]*Tabla1[[#This Row],[Cantidad]]</f>
        <v>12250</v>
      </c>
      <c r="M28" s="1">
        <v>46063</v>
      </c>
      <c r="N28" t="str">
        <f>TEXT(Tabla1[[#This Row],[Fecha Entrega]],"mmmm")</f>
        <v>febrero</v>
      </c>
      <c r="O28" t="s">
        <v>31</v>
      </c>
      <c r="Q28">
        <v>4</v>
      </c>
      <c r="R28">
        <v>7</v>
      </c>
    </row>
    <row r="29" spans="1:19" x14ac:dyDescent="0.25">
      <c r="A29" t="s">
        <v>17</v>
      </c>
      <c r="B29" s="1">
        <v>46041</v>
      </c>
      <c r="C29" t="s">
        <v>18</v>
      </c>
      <c r="D29">
        <v>1000</v>
      </c>
      <c r="E29" t="s">
        <v>19</v>
      </c>
      <c r="F29" t="s">
        <v>20</v>
      </c>
      <c r="G29" t="s">
        <v>37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2450</v>
      </c>
      <c r="M29" s="1">
        <v>46111</v>
      </c>
      <c r="N29" t="str">
        <f>TEXT(Tabla1[[#This Row],[Fecha Entrega]],"mmmm")</f>
        <v>marzo</v>
      </c>
      <c r="O29" t="s">
        <v>31</v>
      </c>
      <c r="P29" t="s">
        <v>140</v>
      </c>
      <c r="Q29">
        <v>4</v>
      </c>
      <c r="R29">
        <v>11</v>
      </c>
    </row>
    <row r="30" spans="1:19" x14ac:dyDescent="0.25">
      <c r="A30" t="s">
        <v>17</v>
      </c>
      <c r="B30" s="1">
        <v>46044</v>
      </c>
      <c r="C30" t="s">
        <v>18</v>
      </c>
      <c r="D30">
        <v>1000</v>
      </c>
      <c r="E30" t="s">
        <v>19</v>
      </c>
      <c r="F30" t="s">
        <v>47</v>
      </c>
      <c r="G30" t="s">
        <v>89</v>
      </c>
      <c r="H30" t="s">
        <v>52</v>
      </c>
      <c r="I30" s="3" t="str">
        <f>VLOOKUP(Tabla1[[#This Row],[Articulo]],Tabla2[[Descripcion]:[Moneda]],3,FALSE)</f>
        <v>U$D</v>
      </c>
      <c r="J30" s="2">
        <f>VLOOKUP(Tabla1[[#This Row],[Articulo]],Tabla2[],4,FALSE)</f>
        <v>12.7</v>
      </c>
      <c r="K30" s="2">
        <f t="shared" si="0"/>
        <v>12.7</v>
      </c>
      <c r="L30" s="2">
        <f>Tabla1[[#This Row],[Importe]]*Tabla1[[#This Row],[Cantidad]]</f>
        <v>12700</v>
      </c>
      <c r="M30" s="1">
        <v>46184</v>
      </c>
      <c r="N30" t="str">
        <f>TEXT(Tabla1[[#This Row],[Fecha Entrega]],"mmmm")</f>
        <v>junio</v>
      </c>
      <c r="O30" t="s">
        <v>31</v>
      </c>
      <c r="P30" t="s">
        <v>190</v>
      </c>
      <c r="Q30">
        <v>4</v>
      </c>
      <c r="R30">
        <v>7</v>
      </c>
    </row>
    <row r="31" spans="1:19" x14ac:dyDescent="0.25">
      <c r="A31" t="s">
        <v>17</v>
      </c>
      <c r="B31" s="1">
        <v>44948</v>
      </c>
      <c r="C31" t="s">
        <v>18</v>
      </c>
      <c r="D31">
        <v>500</v>
      </c>
      <c r="E31" t="s">
        <v>19</v>
      </c>
      <c r="F31" t="s">
        <v>50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2.8</v>
      </c>
      <c r="K31" s="2">
        <f t="shared" si="0"/>
        <v>2.8</v>
      </c>
      <c r="L31" s="2">
        <f>Tabla1[[#This Row],[Importe]]*Tabla1[[#This Row],[Cantidad]]</f>
        <v>1400</v>
      </c>
      <c r="M31" s="1">
        <v>46102</v>
      </c>
      <c r="N31" t="str">
        <f>TEXT(Tabla1[[#This Row],[Fecha Entrega]],"mmmm")</f>
        <v>marzo</v>
      </c>
      <c r="O31" t="s">
        <v>31</v>
      </c>
      <c r="Q31">
        <v>4</v>
      </c>
      <c r="R31">
        <v>10</v>
      </c>
    </row>
    <row r="32" spans="1:19" x14ac:dyDescent="0.25">
      <c r="A32" t="s">
        <v>17</v>
      </c>
      <c r="B32" s="1">
        <v>44948</v>
      </c>
      <c r="C32" t="s">
        <v>18</v>
      </c>
      <c r="D32">
        <v>400</v>
      </c>
      <c r="E32" t="s">
        <v>19</v>
      </c>
      <c r="F32" t="s">
        <v>50</v>
      </c>
      <c r="G32" t="s">
        <v>37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1120</v>
      </c>
      <c r="M32" s="1">
        <v>46128</v>
      </c>
      <c r="N32" t="str">
        <f>TEXT(Tabla1[[#This Row],[Fecha Entrega]],"mmmm")</f>
        <v>abril</v>
      </c>
      <c r="O32" t="s">
        <v>31</v>
      </c>
      <c r="P32" t="s">
        <v>155</v>
      </c>
    </row>
    <row r="33" spans="1:18" x14ac:dyDescent="0.25">
      <c r="A33" t="s">
        <v>17</v>
      </c>
      <c r="B33" s="1">
        <v>44948</v>
      </c>
      <c r="C33" t="s">
        <v>18</v>
      </c>
      <c r="D33">
        <v>1500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4200</v>
      </c>
      <c r="M33" s="1">
        <v>46148</v>
      </c>
      <c r="N33" t="str">
        <f>TEXT(Tabla1[[#This Row],[Fecha Entrega]],"mmmm")</f>
        <v>mayo</v>
      </c>
      <c r="O33" t="s">
        <v>31</v>
      </c>
      <c r="P33" t="s">
        <v>173</v>
      </c>
    </row>
    <row r="34" spans="1:18" x14ac:dyDescent="0.25">
      <c r="A34" t="s">
        <v>17</v>
      </c>
      <c r="B34" s="1">
        <v>46044</v>
      </c>
      <c r="C34" t="s">
        <v>18</v>
      </c>
      <c r="D34">
        <v>3750</v>
      </c>
      <c r="E34" t="s">
        <v>19</v>
      </c>
      <c r="F34" t="s">
        <v>44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0.85</v>
      </c>
      <c r="K34" s="2">
        <f t="shared" si="0"/>
        <v>0.85</v>
      </c>
      <c r="L34" s="2">
        <f>Tabla1[[#This Row],[Importe]]*Tabla1[[#This Row],[Cantidad]]</f>
        <v>3187.5</v>
      </c>
      <c r="M34" s="1">
        <v>46066</v>
      </c>
      <c r="N34" t="str">
        <f>TEXT(Tabla1[[#This Row],[Fecha Entrega]],"mmmm")</f>
        <v>febrero</v>
      </c>
      <c r="O34" t="s">
        <v>31</v>
      </c>
      <c r="Q34">
        <v>4</v>
      </c>
      <c r="R34">
        <v>7</v>
      </c>
    </row>
    <row r="35" spans="1:18" x14ac:dyDescent="0.25">
      <c r="A35" t="s">
        <v>17</v>
      </c>
      <c r="B35" s="1">
        <v>46044</v>
      </c>
      <c r="C35" t="s">
        <v>18</v>
      </c>
      <c r="D35">
        <v>500</v>
      </c>
      <c r="E35" t="s">
        <v>19</v>
      </c>
      <c r="F35" t="s">
        <v>44</v>
      </c>
      <c r="G35" t="s">
        <v>90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425</v>
      </c>
      <c r="M35" s="1">
        <v>46055</v>
      </c>
      <c r="N35" t="str">
        <f>TEXT(Tabla1[[#This Row],[Fecha Entrega]],"mmmm")</f>
        <v>febrero</v>
      </c>
      <c r="O35" t="s">
        <v>31</v>
      </c>
    </row>
    <row r="36" spans="1:18" x14ac:dyDescent="0.25">
      <c r="A36" t="s">
        <v>17</v>
      </c>
      <c r="B36" s="1">
        <v>46044</v>
      </c>
      <c r="C36" t="s">
        <v>18</v>
      </c>
      <c r="D36">
        <v>2500</v>
      </c>
      <c r="E36" t="s">
        <v>19</v>
      </c>
      <c r="F36" t="s">
        <v>44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2125</v>
      </c>
      <c r="M36" s="1">
        <v>46082</v>
      </c>
      <c r="N36" t="str">
        <f>TEXT(Tabla1[[#This Row],[Fecha Entrega]],"mmmm")</f>
        <v>marzo</v>
      </c>
      <c r="O36" t="s">
        <v>31</v>
      </c>
      <c r="Q36">
        <v>4</v>
      </c>
      <c r="R36">
        <v>10</v>
      </c>
    </row>
    <row r="37" spans="1:18" x14ac:dyDescent="0.25">
      <c r="A37" t="s">
        <v>17</v>
      </c>
      <c r="B37" s="1">
        <v>46044</v>
      </c>
      <c r="C37" t="s">
        <v>18</v>
      </c>
      <c r="D37">
        <v>500</v>
      </c>
      <c r="E37" t="s">
        <v>19</v>
      </c>
      <c r="F37" t="s">
        <v>44</v>
      </c>
      <c r="G37" t="s">
        <v>37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425</v>
      </c>
      <c r="M37" s="1">
        <v>46128</v>
      </c>
      <c r="N37" t="str">
        <f>TEXT(Tabla1[[#This Row],[Fecha Entrega]],"mmmm")</f>
        <v>abril</v>
      </c>
      <c r="O37" t="s">
        <v>31</v>
      </c>
      <c r="P37" t="s">
        <v>155</v>
      </c>
    </row>
    <row r="38" spans="1:18" x14ac:dyDescent="0.25">
      <c r="A38" t="s">
        <v>17</v>
      </c>
      <c r="B38" s="1">
        <v>46044</v>
      </c>
      <c r="C38" t="s">
        <v>18</v>
      </c>
      <c r="D38">
        <v>1000</v>
      </c>
      <c r="E38" t="s">
        <v>19</v>
      </c>
      <c r="F38" t="s">
        <v>44</v>
      </c>
      <c r="G38" t="s">
        <v>90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850</v>
      </c>
      <c r="M38" s="1">
        <v>46168</v>
      </c>
      <c r="N38" t="str">
        <f>TEXT(Tabla1[[#This Row],[Fecha Entrega]],"mmmm")</f>
        <v>mayo</v>
      </c>
      <c r="O38" t="s">
        <v>31</v>
      </c>
      <c r="P38" t="s">
        <v>187</v>
      </c>
      <c r="Q38">
        <v>4</v>
      </c>
      <c r="R38">
        <v>14</v>
      </c>
    </row>
    <row r="39" spans="1:18" x14ac:dyDescent="0.25">
      <c r="A39" t="s">
        <v>17</v>
      </c>
      <c r="B39" s="1">
        <v>46045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46179</v>
      </c>
      <c r="N39" t="str">
        <f>TEXT(Tabla1[[#This Row],[Fecha Entrega]],"mmmm")</f>
        <v>junio</v>
      </c>
      <c r="O39" t="s">
        <v>31</v>
      </c>
      <c r="P39" t="s">
        <v>188</v>
      </c>
    </row>
    <row r="40" spans="1:18" x14ac:dyDescent="0.25">
      <c r="A40" t="s">
        <v>17</v>
      </c>
      <c r="B40" s="1">
        <v>46046</v>
      </c>
      <c r="C40" t="s">
        <v>18</v>
      </c>
      <c r="D40">
        <v>3000</v>
      </c>
      <c r="E40" t="s">
        <v>19</v>
      </c>
      <c r="F40" t="s">
        <v>44</v>
      </c>
      <c r="G40" t="s">
        <v>37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2550</v>
      </c>
      <c r="M40" s="1">
        <v>46184</v>
      </c>
      <c r="N40" t="str">
        <f>TEXT(Tabla1[[#This Row],[Fecha Entrega]],"mmmm")</f>
        <v>junio</v>
      </c>
      <c r="O40" t="s">
        <v>31</v>
      </c>
      <c r="P40" t="s">
        <v>191</v>
      </c>
    </row>
    <row r="41" spans="1:18" x14ac:dyDescent="0.25">
      <c r="A41" t="s">
        <v>17</v>
      </c>
      <c r="B41" s="1">
        <v>46029</v>
      </c>
      <c r="C41" t="s">
        <v>18</v>
      </c>
      <c r="D41">
        <v>36.03</v>
      </c>
      <c r="E41" t="s">
        <v>129</v>
      </c>
      <c r="F41" t="s">
        <v>39</v>
      </c>
      <c r="G41" t="s">
        <v>40</v>
      </c>
      <c r="H41" t="s">
        <v>83</v>
      </c>
      <c r="I41" s="3" t="str">
        <f>VLOOKUP(Tabla1[[#This Row],[Articulo]],Tabla2[[Descripcion]:[Moneda]],3,FALSE)</f>
        <v>$</v>
      </c>
      <c r="J41" s="2">
        <f>VLOOKUP(Tabla1[[#This Row],[Articulo]],Tabla2[],4,FALSE)</f>
        <v>101000</v>
      </c>
      <c r="K41" s="2">
        <f t="shared" si="0"/>
        <v>65.798045602605868</v>
      </c>
      <c r="L41" s="2">
        <f>Tabla1[[#This Row],[Importe]]*Tabla1[[#This Row],[Cantidad]]</f>
        <v>2370.7035830618893</v>
      </c>
      <c r="M41" s="1">
        <v>46037</v>
      </c>
      <c r="N41" t="str">
        <f>TEXT(Tabla1[[#This Row],[Fecha Entrega]],"mmmm")</f>
        <v>enero</v>
      </c>
      <c r="O41" t="s">
        <v>31</v>
      </c>
      <c r="Q41">
        <v>2</v>
      </c>
      <c r="R41">
        <v>3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129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ref="K42:K73" si="1">IF(I42="$", J42/$H$1, IF(I42="U$D", J42*1, 0))</f>
        <v>65.798045602605868</v>
      </c>
      <c r="L42" s="2">
        <f>Tabla1[[#This Row],[Importe]]*Tabla1[[#This Row],[Cantidad]]</f>
        <v>2370.7035830618893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46042</v>
      </c>
      <c r="C43" t="s">
        <v>18</v>
      </c>
      <c r="D43">
        <v>36.78</v>
      </c>
      <c r="E43" t="s">
        <v>129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si="1"/>
        <v>65.798045602605868</v>
      </c>
      <c r="L43" s="2">
        <f>Tabla1[[#This Row],[Importe]]*Tabla1[[#This Row],[Cantidad]]</f>
        <v>2420.0521172638437</v>
      </c>
      <c r="M43" s="1">
        <v>46063</v>
      </c>
      <c r="N43" t="str">
        <f>TEXT(Tabla1[[#This Row],[Fecha Entrega]],"mmmm")</f>
        <v>febrero</v>
      </c>
      <c r="O43" t="s">
        <v>31</v>
      </c>
      <c r="Q43">
        <v>4</v>
      </c>
      <c r="R43">
        <v>7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129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65.798045602605868</v>
      </c>
      <c r="L44" s="2">
        <f>Tabla1[[#This Row],[Importe]]*Tabla1[[#This Row],[Cantidad]]</f>
        <v>2420.0521172638437</v>
      </c>
      <c r="M44" s="1">
        <v>46066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26.54</v>
      </c>
      <c r="E45" t="s">
        <v>129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65.798045602605868</v>
      </c>
      <c r="L45" s="2">
        <f>Tabla1[[#This Row],[Importe]]*Tabla1[[#This Row],[Cantidad]]</f>
        <v>1746.2801302931596</v>
      </c>
      <c r="M45" s="1">
        <v>46070</v>
      </c>
      <c r="N45" t="str">
        <f>TEXT(Tabla1[[#This Row],[Fecha Entrega]],"mmmm")</f>
        <v>febrero</v>
      </c>
      <c r="O45" t="s">
        <v>31</v>
      </c>
      <c r="Q45">
        <v>4</v>
      </c>
      <c r="R45">
        <v>8</v>
      </c>
    </row>
    <row r="46" spans="1:18" x14ac:dyDescent="0.25">
      <c r="A46" t="s">
        <v>17</v>
      </c>
      <c r="B46" s="1">
        <v>46042</v>
      </c>
      <c r="C46" t="s">
        <v>18</v>
      </c>
      <c r="D46">
        <v>33.200000000000003</v>
      </c>
      <c r="E46" t="s">
        <v>129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65.798045602605868</v>
      </c>
      <c r="L46" s="2">
        <f>Tabla1[[#This Row],[Importe]]*Tabla1[[#This Row],[Cantidad]]</f>
        <v>2184.495114006515</v>
      </c>
      <c r="M46" s="1">
        <v>46073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34.200000000000003</v>
      </c>
      <c r="E47" t="s">
        <v>129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65.798045602605868</v>
      </c>
      <c r="L47" s="2">
        <f>Tabla1[[#This Row],[Importe]]*Tabla1[[#This Row],[Cantidad]]</f>
        <v>2250.2931596091207</v>
      </c>
      <c r="M47" s="1">
        <v>46077</v>
      </c>
      <c r="N47" t="str">
        <f>TEXT(Tabla1[[#This Row],[Fecha Entrega]],"mmmm")</f>
        <v>febrero</v>
      </c>
      <c r="O47" t="s">
        <v>31</v>
      </c>
      <c r="Q47">
        <v>4</v>
      </c>
      <c r="R47">
        <v>9</v>
      </c>
    </row>
    <row r="48" spans="1:18" x14ac:dyDescent="0.25">
      <c r="A48" t="s">
        <v>17</v>
      </c>
      <c r="B48" s="1">
        <v>46042</v>
      </c>
      <c r="C48" t="s">
        <v>18</v>
      </c>
      <c r="D48">
        <v>35.880000000000003</v>
      </c>
      <c r="E48" t="s">
        <v>129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65.798045602605868</v>
      </c>
      <c r="L48" s="2">
        <f>Tabla1[[#This Row],[Importe]]*Tabla1[[#This Row],[Cantidad]]</f>
        <v>2360.8338762214985</v>
      </c>
      <c r="M48" s="1">
        <v>46080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34.299999999999997</v>
      </c>
      <c r="E49" t="s">
        <v>129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65.798045602605868</v>
      </c>
      <c r="L49" s="2">
        <f>Tabla1[[#This Row],[Importe]]*Tabla1[[#This Row],[Cantidad]]</f>
        <v>2256.8729641693812</v>
      </c>
      <c r="M49" s="1">
        <v>46085</v>
      </c>
      <c r="N49" t="str">
        <f>TEXT(Tabla1[[#This Row],[Fecha Entrega]],"mmmm")</f>
        <v>marzo</v>
      </c>
      <c r="O49" t="s">
        <v>31</v>
      </c>
      <c r="Q49">
        <v>4</v>
      </c>
      <c r="R49">
        <v>10</v>
      </c>
    </row>
    <row r="50" spans="1:18" x14ac:dyDescent="0.25">
      <c r="A50" t="s">
        <v>17</v>
      </c>
      <c r="B50" s="1">
        <v>46042</v>
      </c>
      <c r="C50" t="s">
        <v>18</v>
      </c>
      <c r="D50">
        <v>39.299999999999997</v>
      </c>
      <c r="E50" t="s">
        <v>129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65.798045602605868</v>
      </c>
      <c r="L50" s="2">
        <f>Tabla1[[#This Row],[Importe]]*Tabla1[[#This Row],[Cantidad]]</f>
        <v>2585.8631921824103</v>
      </c>
      <c r="M50" s="1">
        <v>46087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27.96</v>
      </c>
      <c r="E51" t="s">
        <v>129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65.798045602605868</v>
      </c>
      <c r="L51" s="2">
        <f>Tabla1[[#This Row],[Importe]]*Tabla1[[#This Row],[Cantidad]]</f>
        <v>1839.7133550488602</v>
      </c>
      <c r="M51" s="1">
        <v>46094</v>
      </c>
      <c r="N51" t="str">
        <f>TEXT(Tabla1[[#This Row],[Fecha Entrega]],"mmmm")</f>
        <v>marzo</v>
      </c>
      <c r="O51" t="s">
        <v>31</v>
      </c>
      <c r="Q51">
        <v>4</v>
      </c>
      <c r="R51">
        <v>11</v>
      </c>
    </row>
    <row r="52" spans="1:18" x14ac:dyDescent="0.25">
      <c r="A52" t="s">
        <v>17</v>
      </c>
      <c r="B52" s="1">
        <v>46042</v>
      </c>
      <c r="C52" t="s">
        <v>18</v>
      </c>
      <c r="D52">
        <v>30.58</v>
      </c>
      <c r="E52" t="s">
        <v>129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65.798045602605868</v>
      </c>
      <c r="L52" s="2">
        <f>Tabla1[[#This Row],[Importe]]*Tabla1[[#This Row],[Cantidad]]</f>
        <v>2012.1042345276874</v>
      </c>
      <c r="M52" s="1">
        <v>46095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31.62</v>
      </c>
      <c r="E53" t="s">
        <v>129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65.798045602605868</v>
      </c>
      <c r="L53" s="2">
        <f>Tabla1[[#This Row],[Importe]]*Tabla1[[#This Row],[Cantidad]]</f>
        <v>2080.5342019543978</v>
      </c>
      <c r="M53" s="1">
        <v>46098</v>
      </c>
      <c r="N53" t="str">
        <f>TEXT(Tabla1[[#This Row],[Fecha Entrega]],"mmmm")</f>
        <v>marzo</v>
      </c>
      <c r="O53" t="s">
        <v>31</v>
      </c>
      <c r="P53" t="s">
        <v>131</v>
      </c>
      <c r="Q53">
        <v>4</v>
      </c>
      <c r="R53">
        <v>12</v>
      </c>
    </row>
    <row r="54" spans="1:18" x14ac:dyDescent="0.25">
      <c r="A54" t="s">
        <v>17</v>
      </c>
      <c r="B54" s="1">
        <v>46042</v>
      </c>
      <c r="C54" t="s">
        <v>18</v>
      </c>
      <c r="D54">
        <v>28</v>
      </c>
      <c r="E54" t="s">
        <v>129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65.798045602605868</v>
      </c>
      <c r="L54" s="2">
        <f>Tabla1[[#This Row],[Importe]]*Tabla1[[#This Row],[Cantidad]]</f>
        <v>1842.3452768729644</v>
      </c>
      <c r="M54" s="1">
        <v>46103</v>
      </c>
      <c r="N54" t="str">
        <f>TEXT(Tabla1[[#This Row],[Fecha Entrega]],"mmmm")</f>
        <v>marzo</v>
      </c>
      <c r="O54" t="s">
        <v>31</v>
      </c>
      <c r="P54" t="s">
        <v>130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37.96</v>
      </c>
      <c r="E55" t="s">
        <v>129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65.798045602605868</v>
      </c>
      <c r="L55" s="2">
        <f>Tabla1[[#This Row],[Importe]]*Tabla1[[#This Row],[Cantidad]]</f>
        <v>2497.6938110749188</v>
      </c>
      <c r="M55" s="1">
        <v>46106</v>
      </c>
      <c r="N55" t="str">
        <f>TEXT(Tabla1[[#This Row],[Fecha Entrega]],"mmmm")</f>
        <v>marzo</v>
      </c>
      <c r="O55" t="s">
        <v>31</v>
      </c>
      <c r="P55" t="s">
        <v>136</v>
      </c>
      <c r="Q55">
        <v>4</v>
      </c>
      <c r="R55">
        <v>13</v>
      </c>
    </row>
    <row r="56" spans="1:18" x14ac:dyDescent="0.25">
      <c r="A56" t="s">
        <v>17</v>
      </c>
      <c r="B56" s="1">
        <v>46042</v>
      </c>
      <c r="C56" t="s">
        <v>18</v>
      </c>
      <c r="D56">
        <v>30.16</v>
      </c>
      <c r="E56" t="s">
        <v>129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65.798045602605868</v>
      </c>
      <c r="L56" s="2">
        <f>Tabla1[[#This Row],[Importe]]*Tabla1[[#This Row],[Cantidad]]</f>
        <v>1984.4690553745929</v>
      </c>
      <c r="M56" s="1">
        <v>46108</v>
      </c>
      <c r="N56" t="str">
        <f>TEXT(Tabla1[[#This Row],[Fecha Entrega]],"mmmm")</f>
        <v>marzo</v>
      </c>
      <c r="O56" t="s">
        <v>31</v>
      </c>
      <c r="P56" t="s">
        <v>137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31.54</v>
      </c>
      <c r="E57" t="s">
        <v>129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65.798045602605868</v>
      </c>
      <c r="L57" s="2">
        <f>Tabla1[[#This Row],[Importe]]*Tabla1[[#This Row],[Cantidad]]</f>
        <v>2075.2703583061889</v>
      </c>
      <c r="M57" s="1">
        <v>46107</v>
      </c>
      <c r="N57" t="str">
        <f>TEXT(Tabla1[[#This Row],[Fecha Entrega]],"mmmm")</f>
        <v>marzo</v>
      </c>
      <c r="O57" t="s">
        <v>31</v>
      </c>
      <c r="P57" t="s">
        <v>138</v>
      </c>
      <c r="Q57">
        <v>4</v>
      </c>
      <c r="R57">
        <v>14</v>
      </c>
    </row>
    <row r="58" spans="1:18" x14ac:dyDescent="0.25">
      <c r="A58" t="s">
        <v>17</v>
      </c>
      <c r="B58" s="1">
        <v>46042</v>
      </c>
      <c r="C58" t="s">
        <v>18</v>
      </c>
      <c r="D58">
        <v>35.44</v>
      </c>
      <c r="E58" t="s">
        <v>129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65.798045602605868</v>
      </c>
      <c r="L58" s="2">
        <f>Tabla1[[#This Row],[Importe]]*Tabla1[[#This Row],[Cantidad]]</f>
        <v>2331.8827361563517</v>
      </c>
      <c r="M58" s="1">
        <v>46111</v>
      </c>
      <c r="N58" t="str">
        <f>TEXT(Tabla1[[#This Row],[Fecha Entrega]],"mmmm")</f>
        <v>marzo</v>
      </c>
      <c r="O58" t="s">
        <v>31</v>
      </c>
      <c r="P58" t="s">
        <v>141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34.1</v>
      </c>
      <c r="E59" t="s">
        <v>129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65.798045602605868</v>
      </c>
      <c r="L59" s="2">
        <f>Tabla1[[#This Row],[Importe]]*Tabla1[[#This Row],[Cantidad]]</f>
        <v>2243.7133550488602</v>
      </c>
      <c r="M59" s="1">
        <v>46112</v>
      </c>
      <c r="N59" t="str">
        <f>TEXT(Tabla1[[#This Row],[Fecha Entrega]],"mmmm")</f>
        <v>marzo</v>
      </c>
      <c r="O59" t="s">
        <v>31</v>
      </c>
      <c r="P59" t="s">
        <v>144</v>
      </c>
      <c r="Q59">
        <v>4</v>
      </c>
      <c r="R59">
        <v>15</v>
      </c>
    </row>
    <row r="60" spans="1:18" x14ac:dyDescent="0.25">
      <c r="A60" t="s">
        <v>17</v>
      </c>
      <c r="B60" s="1">
        <v>46042</v>
      </c>
      <c r="C60" t="s">
        <v>18</v>
      </c>
      <c r="D60">
        <v>36.36</v>
      </c>
      <c r="E60" t="s">
        <v>129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65.798045602605868</v>
      </c>
      <c r="L60" s="2">
        <f>Tabla1[[#This Row],[Importe]]*Tabla1[[#This Row],[Cantidad]]</f>
        <v>2392.4169381107495</v>
      </c>
      <c r="M60" s="1">
        <v>46113</v>
      </c>
      <c r="N60" t="str">
        <f>TEXT(Tabla1[[#This Row],[Fecha Entrega]],"mmmm")</f>
        <v>abril</v>
      </c>
      <c r="O60" t="s">
        <v>31</v>
      </c>
      <c r="P60" t="s">
        <v>145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30</v>
      </c>
      <c r="E61" t="s">
        <v>129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65.798045602605868</v>
      </c>
      <c r="L61" s="2">
        <f>Tabla1[[#This Row],[Importe]]*Tabla1[[#This Row],[Cantidad]]</f>
        <v>1973.9413680781761</v>
      </c>
      <c r="M61" s="1">
        <v>46118</v>
      </c>
      <c r="N61" t="str">
        <f>TEXT(Tabla1[[#This Row],[Fecha Entrega]],"mmmm")</f>
        <v>abril</v>
      </c>
      <c r="O61" t="s">
        <v>31</v>
      </c>
      <c r="P61" t="s">
        <v>148</v>
      </c>
      <c r="Q61">
        <v>4</v>
      </c>
      <c r="R61">
        <v>16</v>
      </c>
    </row>
    <row r="62" spans="1:18" x14ac:dyDescent="0.25">
      <c r="A62" t="s">
        <v>17</v>
      </c>
      <c r="B62" s="1">
        <v>46042</v>
      </c>
      <c r="C62" t="s">
        <v>18</v>
      </c>
      <c r="D62">
        <v>36.96</v>
      </c>
      <c r="E62" t="s">
        <v>129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65.798045602605868</v>
      </c>
      <c r="L62" s="2">
        <f>Tabla1[[#This Row],[Importe]]*Tabla1[[#This Row],[Cantidad]]</f>
        <v>2431.8957654723131</v>
      </c>
      <c r="M62" s="1">
        <v>46120</v>
      </c>
      <c r="N62" t="str">
        <f>TEXT(Tabla1[[#This Row],[Fecha Entrega]],"mmmm")</f>
        <v>abril</v>
      </c>
      <c r="O62" t="s">
        <v>31</v>
      </c>
      <c r="P62" t="s">
        <v>149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32.42</v>
      </c>
      <c r="E63" t="s">
        <v>129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65.798045602605868</v>
      </c>
      <c r="L63" s="2">
        <f>Tabla1[[#This Row],[Importe]]*Tabla1[[#This Row],[Cantidad]]</f>
        <v>2133.1726384364824</v>
      </c>
      <c r="M63" s="1">
        <v>46121</v>
      </c>
      <c r="N63" t="str">
        <f>TEXT(Tabla1[[#This Row],[Fecha Entrega]],"mmmm")</f>
        <v>abril</v>
      </c>
      <c r="O63" t="s">
        <v>31</v>
      </c>
      <c r="P63" t="s">
        <v>150</v>
      </c>
      <c r="Q63">
        <v>4</v>
      </c>
      <c r="R63">
        <v>17</v>
      </c>
    </row>
    <row r="64" spans="1:18" x14ac:dyDescent="0.25">
      <c r="A64" t="s">
        <v>17</v>
      </c>
      <c r="B64" s="1">
        <v>46042</v>
      </c>
      <c r="C64" t="s">
        <v>18</v>
      </c>
      <c r="D64">
        <v>33.78</v>
      </c>
      <c r="E64" t="s">
        <v>129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65.798045602605868</v>
      </c>
      <c r="L64" s="2">
        <f>Tabla1[[#This Row],[Importe]]*Tabla1[[#This Row],[Cantidad]]</f>
        <v>2222.6579804560265</v>
      </c>
      <c r="M64" s="1">
        <v>46125</v>
      </c>
      <c r="N64" t="str">
        <f>TEXT(Tabla1[[#This Row],[Fecha Entrega]],"mmmm")</f>
        <v>abril</v>
      </c>
      <c r="O64" t="s">
        <v>31</v>
      </c>
      <c r="P64" t="s">
        <v>152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30.2</v>
      </c>
      <c r="E65" t="s">
        <v>129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65.798045602605868</v>
      </c>
      <c r="L65" s="2">
        <f>Tabla1[[#This Row],[Importe]]*Tabla1[[#This Row],[Cantidad]]</f>
        <v>1987.1009771986971</v>
      </c>
      <c r="M65" s="1">
        <v>46127</v>
      </c>
      <c r="N65" t="str">
        <f>TEXT(Tabla1[[#This Row],[Fecha Entrega]],"mmmm")</f>
        <v>abril</v>
      </c>
      <c r="O65" t="s">
        <v>31</v>
      </c>
      <c r="P65" t="s">
        <v>153</v>
      </c>
      <c r="Q65">
        <v>4</v>
      </c>
      <c r="R65">
        <v>18</v>
      </c>
    </row>
    <row r="66" spans="1:18" x14ac:dyDescent="0.25">
      <c r="A66" t="s">
        <v>17</v>
      </c>
      <c r="B66" s="1">
        <v>46042</v>
      </c>
      <c r="C66" t="s">
        <v>18</v>
      </c>
      <c r="D66">
        <v>32.32</v>
      </c>
      <c r="E66" t="s">
        <v>129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65.798045602605868</v>
      </c>
      <c r="L66" s="2">
        <f>Tabla1[[#This Row],[Importe]]*Tabla1[[#This Row],[Cantidad]]</f>
        <v>2126.5928338762214</v>
      </c>
      <c r="M66" s="1">
        <v>46129</v>
      </c>
      <c r="N66" t="str">
        <f>TEXT(Tabla1[[#This Row],[Fecha Entrega]],"mmmm")</f>
        <v>abril</v>
      </c>
      <c r="O66" t="s">
        <v>31</v>
      </c>
      <c r="P66" t="s">
        <v>157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32.06</v>
      </c>
      <c r="E67" t="s">
        <v>129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65.798045602605868</v>
      </c>
      <c r="L67" s="2">
        <f>Tabla1[[#This Row],[Importe]]*Tabla1[[#This Row],[Cantidad]]</f>
        <v>2109.4853420195441</v>
      </c>
      <c r="M67" s="1">
        <v>46143</v>
      </c>
      <c r="N67" t="str">
        <f>TEXT(Tabla1[[#This Row],[Fecha Entrega]],"mmmm")</f>
        <v>mayo</v>
      </c>
      <c r="O67" t="s">
        <v>31</v>
      </c>
      <c r="P67" t="s">
        <v>158</v>
      </c>
      <c r="Q67">
        <v>4</v>
      </c>
      <c r="R67">
        <v>19</v>
      </c>
    </row>
    <row r="68" spans="1:18" x14ac:dyDescent="0.25">
      <c r="A68" t="s">
        <v>17</v>
      </c>
      <c r="B68" s="1">
        <v>46042</v>
      </c>
      <c r="C68" t="s">
        <v>18</v>
      </c>
      <c r="D68">
        <v>29.92</v>
      </c>
      <c r="E68" t="s">
        <v>129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65.798045602605868</v>
      </c>
      <c r="L68" s="2">
        <f>Tabla1[[#This Row],[Importe]]*Tabla1[[#This Row],[Cantidad]]</f>
        <v>1968.6775244299677</v>
      </c>
      <c r="M68" s="1">
        <v>46147</v>
      </c>
      <c r="N68" t="str">
        <f>TEXT(Tabla1[[#This Row],[Fecha Entrega]],"mmmm")</f>
        <v>mayo</v>
      </c>
      <c r="O68" t="s">
        <v>31</v>
      </c>
      <c r="P68" t="s">
        <v>159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28.14</v>
      </c>
      <c r="E69" t="s">
        <v>129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65.798045602605868</v>
      </c>
      <c r="L69" s="2">
        <f>Tabla1[[#This Row],[Importe]]*Tabla1[[#This Row],[Cantidad]]</f>
        <v>1851.5570032573291</v>
      </c>
      <c r="M69" s="1">
        <v>46134</v>
      </c>
      <c r="N69" t="str">
        <f>TEXT(Tabla1[[#This Row],[Fecha Entrega]],"mmmm")</f>
        <v>abril</v>
      </c>
      <c r="O69" t="s">
        <v>31</v>
      </c>
      <c r="P69" t="s">
        <v>160</v>
      </c>
      <c r="Q69">
        <v>4</v>
      </c>
      <c r="R69">
        <v>20</v>
      </c>
    </row>
    <row r="70" spans="1:18" x14ac:dyDescent="0.25">
      <c r="A70" t="s">
        <v>17</v>
      </c>
      <c r="B70" s="1">
        <v>46042</v>
      </c>
      <c r="C70" t="s">
        <v>18</v>
      </c>
      <c r="D70">
        <v>28.8</v>
      </c>
      <c r="E70" t="s">
        <v>129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65.798045602605868</v>
      </c>
      <c r="L70" s="2">
        <f>Tabla1[[#This Row],[Importe]]*Tabla1[[#This Row],[Cantidad]]</f>
        <v>1894.9837133550491</v>
      </c>
      <c r="M70" s="1">
        <v>46136</v>
      </c>
      <c r="N70" t="str">
        <f>TEXT(Tabla1[[#This Row],[Fecha Entrega]],"mmmm")</f>
        <v>abril</v>
      </c>
      <c r="O70" t="s">
        <v>31</v>
      </c>
      <c r="P70" t="s">
        <v>162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29.36</v>
      </c>
      <c r="E71" t="s">
        <v>129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65.798045602605868</v>
      </c>
      <c r="L71" s="2">
        <f>Tabla1[[#This Row],[Importe]]*Tabla1[[#This Row],[Cantidad]]</f>
        <v>1931.8306188925083</v>
      </c>
      <c r="M71" s="1">
        <v>46157</v>
      </c>
      <c r="N71" t="str">
        <f>TEXT(Tabla1[[#This Row],[Fecha Entrega]],"mmmm")</f>
        <v>mayo</v>
      </c>
      <c r="O71" t="s">
        <v>31</v>
      </c>
      <c r="P71" t="s">
        <v>163</v>
      </c>
      <c r="Q71">
        <v>4</v>
      </c>
      <c r="R71">
        <v>21</v>
      </c>
    </row>
    <row r="72" spans="1:18" x14ac:dyDescent="0.25">
      <c r="A72" t="s">
        <v>17</v>
      </c>
      <c r="B72" s="1">
        <v>46042</v>
      </c>
      <c r="C72" t="s">
        <v>18</v>
      </c>
      <c r="D72">
        <v>29.66</v>
      </c>
      <c r="E72" t="s">
        <v>129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65.798045602605868</v>
      </c>
      <c r="L72" s="2">
        <f>Tabla1[[#This Row],[Importe]]*Tabla1[[#This Row],[Cantidad]]</f>
        <v>1951.5700325732901</v>
      </c>
      <c r="M72" s="1">
        <v>46161</v>
      </c>
      <c r="N72" t="str">
        <f>TEXT(Tabla1[[#This Row],[Fecha Entrega]],"mmmm")</f>
        <v>mayo</v>
      </c>
      <c r="O72" t="s">
        <v>31</v>
      </c>
      <c r="P72" t="s">
        <v>165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31.3</v>
      </c>
      <c r="E73" t="s">
        <v>129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65.798045602605868</v>
      </c>
      <c r="L73" s="2">
        <f>Tabla1[[#This Row],[Importe]]*Tabla1[[#This Row],[Cantidad]]</f>
        <v>2059.4788273615636</v>
      </c>
      <c r="M73" s="1">
        <v>46164</v>
      </c>
      <c r="N73" t="str">
        <f>TEXT(Tabla1[[#This Row],[Fecha Entrega]],"mmmm")</f>
        <v>mayo</v>
      </c>
      <c r="O73" t="s">
        <v>31</v>
      </c>
      <c r="P73" t="s">
        <v>167</v>
      </c>
      <c r="Q73">
        <v>4</v>
      </c>
      <c r="R73">
        <v>22</v>
      </c>
    </row>
    <row r="74" spans="1:18" x14ac:dyDescent="0.25">
      <c r="A74" t="s">
        <v>17</v>
      </c>
      <c r="B74" s="1">
        <v>46042</v>
      </c>
      <c r="C74" t="s">
        <v>18</v>
      </c>
      <c r="D74">
        <v>28.38</v>
      </c>
      <c r="E74" t="s">
        <v>129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ref="K74:K105" si="2">IF(I74="$", J74/$H$1, IF(I74="U$D", J74*1, 0))</f>
        <v>65.798045602605868</v>
      </c>
      <c r="L74" s="2">
        <f>Tabla1[[#This Row],[Importe]]*Tabla1[[#This Row],[Cantidad]]</f>
        <v>1867.3485342019544</v>
      </c>
      <c r="M74" s="1">
        <v>46150</v>
      </c>
      <c r="N74" t="str">
        <f>TEXT(Tabla1[[#This Row],[Fecha Entrega]],"mmmm")</f>
        <v>mayo</v>
      </c>
      <c r="O74" t="s">
        <v>31</v>
      </c>
      <c r="P74" t="s">
        <v>176</v>
      </c>
    </row>
    <row r="75" spans="1:18" x14ac:dyDescent="0.25">
      <c r="A75" t="s">
        <v>17</v>
      </c>
      <c r="B75" s="1">
        <v>46043</v>
      </c>
      <c r="C75" t="s">
        <v>18</v>
      </c>
      <c r="D75">
        <v>32.119999999999997</v>
      </c>
      <c r="E75" t="s">
        <v>129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si="2"/>
        <v>65.798045602605868</v>
      </c>
      <c r="L75" s="2">
        <f>Tabla1[[#This Row],[Importe]]*Tabla1[[#This Row],[Cantidad]]</f>
        <v>2113.4332247557004</v>
      </c>
      <c r="M75" s="1">
        <v>46162</v>
      </c>
      <c r="N75" t="str">
        <f>TEXT(Tabla1[[#This Row],[Fecha Entrega]],"mmmm")</f>
        <v>mayo</v>
      </c>
      <c r="O75" t="s">
        <v>31</v>
      </c>
      <c r="P75" t="s">
        <v>181</v>
      </c>
    </row>
    <row r="76" spans="1:18" x14ac:dyDescent="0.25">
      <c r="A76" t="s">
        <v>17</v>
      </c>
      <c r="B76" s="1">
        <v>46043</v>
      </c>
      <c r="C76" t="s">
        <v>18</v>
      </c>
      <c r="D76">
        <v>29.64</v>
      </c>
      <c r="E76" t="s">
        <v>129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65.798045602605868</v>
      </c>
      <c r="L76" s="2">
        <f>Tabla1[[#This Row],[Importe]]*Tabla1[[#This Row],[Cantidad]]</f>
        <v>1950.254071661238</v>
      </c>
      <c r="M76" s="1">
        <v>46185</v>
      </c>
      <c r="N76" t="str">
        <f>TEXT(Tabla1[[#This Row],[Fecha Entrega]],"mmmm")</f>
        <v>junio</v>
      </c>
      <c r="O76" t="s">
        <v>31</v>
      </c>
      <c r="P76" t="s">
        <v>192</v>
      </c>
    </row>
    <row r="77" spans="1:18" x14ac:dyDescent="0.25">
      <c r="A77" t="s">
        <v>17</v>
      </c>
      <c r="B77" s="1">
        <v>46042</v>
      </c>
      <c r="C77" t="s">
        <v>18</v>
      </c>
      <c r="D77">
        <v>28.8</v>
      </c>
      <c r="E77" t="s">
        <v>129</v>
      </c>
      <c r="F77" t="s">
        <v>43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137500</v>
      </c>
      <c r="K77" s="2">
        <f t="shared" si="2"/>
        <v>89.576547231270354</v>
      </c>
      <c r="L77" s="2">
        <f>Tabla1[[#This Row],[Importe]]*Tabla1[[#This Row],[Cantidad]]</f>
        <v>2579.8045602605862</v>
      </c>
      <c r="M77" s="1">
        <v>46069</v>
      </c>
      <c r="N77" t="str">
        <f>TEXT(Tabla1[[#This Row],[Fecha Entrega]],"mmmm")</f>
        <v>febrero</v>
      </c>
      <c r="O77" t="s">
        <v>31</v>
      </c>
      <c r="Q77">
        <v>4</v>
      </c>
      <c r="R77">
        <v>8</v>
      </c>
    </row>
    <row r="78" spans="1:18" x14ac:dyDescent="0.25">
      <c r="A78" t="s">
        <v>17</v>
      </c>
      <c r="B78" s="1">
        <v>46042</v>
      </c>
      <c r="C78" t="s">
        <v>18</v>
      </c>
      <c r="D78">
        <v>28.28</v>
      </c>
      <c r="E78" t="s">
        <v>129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89.576547231270354</v>
      </c>
      <c r="L78" s="2">
        <f>Tabla1[[#This Row],[Importe]]*Tabla1[[#This Row],[Cantidad]]</f>
        <v>2533.2247557003257</v>
      </c>
      <c r="M78" s="1">
        <v>46081</v>
      </c>
      <c r="N78" t="str">
        <f>TEXT(Tabla1[[#This Row],[Fecha Entrega]],"mmmm")</f>
        <v>febrero</v>
      </c>
      <c r="O78" t="s">
        <v>31</v>
      </c>
      <c r="Q78">
        <v>4</v>
      </c>
      <c r="R78">
        <v>9</v>
      </c>
    </row>
    <row r="79" spans="1:18" x14ac:dyDescent="0.25">
      <c r="A79" t="s">
        <v>17</v>
      </c>
      <c r="B79" s="1">
        <v>46042</v>
      </c>
      <c r="C79" t="s">
        <v>18</v>
      </c>
      <c r="D79">
        <v>28.8</v>
      </c>
      <c r="E79" t="s">
        <v>129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89.576547231270354</v>
      </c>
      <c r="L79" s="2">
        <f>Tabla1[[#This Row],[Importe]]*Tabla1[[#This Row],[Cantidad]]</f>
        <v>2579.8045602605862</v>
      </c>
      <c r="M79" s="1">
        <v>46088</v>
      </c>
      <c r="N79" t="str">
        <f>TEXT(Tabla1[[#This Row],[Fecha Entrega]],"mmmm")</f>
        <v>marzo</v>
      </c>
      <c r="O79" t="s">
        <v>31</v>
      </c>
      <c r="Q79">
        <v>4</v>
      </c>
      <c r="R79">
        <v>12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129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89.576547231270354</v>
      </c>
      <c r="L80" s="2">
        <f>Tabla1[[#This Row],[Importe]]*Tabla1[[#This Row],[Cantidad]]</f>
        <v>2579.8045602605862</v>
      </c>
      <c r="M80" s="1">
        <v>46101</v>
      </c>
      <c r="N80" t="str">
        <f>TEXT(Tabla1[[#This Row],[Fecha Entrega]],"mmmm")</f>
        <v>marzo</v>
      </c>
      <c r="O80" t="s">
        <v>31</v>
      </c>
      <c r="P80" t="s">
        <v>132</v>
      </c>
      <c r="Q80">
        <v>4</v>
      </c>
      <c r="R80">
        <v>14</v>
      </c>
    </row>
    <row r="81" spans="1:19" x14ac:dyDescent="0.25">
      <c r="A81" t="s">
        <v>17</v>
      </c>
      <c r="B81" s="1">
        <v>46042</v>
      </c>
      <c r="C81" t="s">
        <v>18</v>
      </c>
      <c r="D81">
        <v>28</v>
      </c>
      <c r="E81" t="s">
        <v>129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89.576547231270354</v>
      </c>
      <c r="L81" s="2">
        <f>Tabla1[[#This Row],[Importe]]*Tabla1[[#This Row],[Cantidad]]</f>
        <v>2508.1433224755701</v>
      </c>
      <c r="M81" s="1">
        <v>46114</v>
      </c>
      <c r="N81" t="str">
        <f>TEXT(Tabla1[[#This Row],[Fecha Entrega]],"mmmm")</f>
        <v>abril</v>
      </c>
      <c r="O81" t="s">
        <v>31</v>
      </c>
      <c r="Q81">
        <v>4</v>
      </c>
      <c r="R81">
        <v>15</v>
      </c>
    </row>
    <row r="82" spans="1:19" x14ac:dyDescent="0.25">
      <c r="A82" t="s">
        <v>17</v>
      </c>
      <c r="B82" s="1">
        <v>46042</v>
      </c>
      <c r="C82" t="s">
        <v>18</v>
      </c>
      <c r="D82">
        <v>27.6</v>
      </c>
      <c r="E82" t="s">
        <v>129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89.576547231270354</v>
      </c>
      <c r="L82" s="2">
        <f>Tabla1[[#This Row],[Importe]]*Tabla1[[#This Row],[Cantidad]]</f>
        <v>2472.3127035830621</v>
      </c>
      <c r="M82" s="1">
        <v>46129</v>
      </c>
      <c r="N82" t="str">
        <f>TEXT(Tabla1[[#This Row],[Fecha Entrega]],"mmmm")</f>
        <v>abril</v>
      </c>
      <c r="O82" t="s">
        <v>31</v>
      </c>
      <c r="P82" t="s">
        <v>156</v>
      </c>
      <c r="Q82">
        <v>4</v>
      </c>
      <c r="R82">
        <v>17</v>
      </c>
    </row>
    <row r="83" spans="1:19" x14ac:dyDescent="0.25">
      <c r="A83" t="s">
        <v>17</v>
      </c>
      <c r="B83" s="1">
        <v>46042</v>
      </c>
      <c r="C83" t="s">
        <v>18</v>
      </c>
      <c r="D83">
        <v>14.8</v>
      </c>
      <c r="E83" t="s">
        <v>129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89.576547231270354</v>
      </c>
      <c r="L83" s="2">
        <f>Tabla1[[#This Row],[Importe]]*Tabla1[[#This Row],[Cantidad]]</f>
        <v>1325.7328990228013</v>
      </c>
      <c r="M83" s="1">
        <v>46153</v>
      </c>
      <c r="N83" t="str">
        <f>TEXT(Tabla1[[#This Row],[Fecha Entrega]],"mmmm")</f>
        <v>mayo</v>
      </c>
      <c r="O83" t="s">
        <v>31</v>
      </c>
      <c r="P83" t="s">
        <v>178</v>
      </c>
    </row>
    <row r="84" spans="1:19" x14ac:dyDescent="0.25">
      <c r="A84" t="s">
        <v>17</v>
      </c>
      <c r="B84" s="1">
        <v>46043</v>
      </c>
      <c r="C84" t="s">
        <v>18</v>
      </c>
      <c r="D84">
        <v>14.8</v>
      </c>
      <c r="E84" t="s">
        <v>129</v>
      </c>
      <c r="F84" t="s">
        <v>179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155000</v>
      </c>
      <c r="K84" s="2">
        <f t="shared" si="2"/>
        <v>100.9771986970684</v>
      </c>
      <c r="L84" s="2">
        <f>Tabla1[[#This Row],[Importe]]*Tabla1[[#This Row],[Cantidad]]</f>
        <v>1494.4625407166125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178</v>
      </c>
    </row>
    <row r="85" spans="1:19" x14ac:dyDescent="0.25">
      <c r="A85" t="s">
        <v>17</v>
      </c>
      <c r="B85" s="1">
        <v>46044</v>
      </c>
      <c r="C85" t="s">
        <v>18</v>
      </c>
      <c r="D85">
        <v>1000</v>
      </c>
      <c r="E85" t="s">
        <v>19</v>
      </c>
      <c r="F85" t="s">
        <v>48</v>
      </c>
      <c r="H85" t="s">
        <v>52</v>
      </c>
      <c r="I85" s="3" t="str">
        <f>VLOOKUP(Tabla1[[#This Row],[Articulo]],Tabla2[[Descripcion]:[Moneda]],3,FALSE)</f>
        <v>U$D</v>
      </c>
      <c r="J85" s="2">
        <f>VLOOKUP(Tabla1[[#This Row],[Articulo]],Tabla2[],4,FALSE)</f>
        <v>2.95</v>
      </c>
      <c r="K85" s="2">
        <f t="shared" si="2"/>
        <v>2.95</v>
      </c>
      <c r="L85" s="2">
        <f>Tabla1[[#This Row],[Importe]]*Tabla1[[#This Row],[Cantidad]]</f>
        <v>2950</v>
      </c>
      <c r="M85" s="1">
        <v>46066</v>
      </c>
      <c r="N85" t="str">
        <f>TEXT(Tabla1[[#This Row],[Fecha Entrega]],"mmmm")</f>
        <v>febrero</v>
      </c>
      <c r="O85" t="s">
        <v>31</v>
      </c>
      <c r="Q85">
        <v>4</v>
      </c>
      <c r="R85">
        <v>7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10</v>
      </c>
    </row>
    <row r="87" spans="1:19" x14ac:dyDescent="0.25">
      <c r="A87" t="s">
        <v>17</v>
      </c>
      <c r="B87" s="1">
        <v>46045</v>
      </c>
      <c r="C87" t="s">
        <v>18</v>
      </c>
      <c r="D87">
        <v>100</v>
      </c>
      <c r="E87" t="s">
        <v>19</v>
      </c>
      <c r="F87" t="s">
        <v>48</v>
      </c>
      <c r="G87" t="s">
        <v>89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</v>
      </c>
      <c r="M87" s="1">
        <v>46170</v>
      </c>
      <c r="N87" t="str">
        <f>TEXT(Tabla1[[#This Row],[Fecha Entrega]],"mmmm")</f>
        <v>mayo</v>
      </c>
      <c r="O87" t="s">
        <v>31</v>
      </c>
      <c r="P87" t="s">
        <v>182</v>
      </c>
    </row>
    <row r="88" spans="1:19" x14ac:dyDescent="0.25">
      <c r="A88" t="s">
        <v>17</v>
      </c>
      <c r="B88" s="1">
        <v>46044</v>
      </c>
      <c r="C88" t="s">
        <v>18</v>
      </c>
      <c r="D88">
        <v>254</v>
      </c>
      <c r="E88" t="s">
        <v>19</v>
      </c>
      <c r="F88" t="s">
        <v>46</v>
      </c>
      <c r="G88" t="s">
        <v>91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2.1156999999999999</v>
      </c>
      <c r="K88" s="2">
        <f t="shared" si="2"/>
        <v>2.1156999999999999</v>
      </c>
      <c r="L88" s="2">
        <f>Tabla1[[#This Row],[Importe]]*Tabla1[[#This Row],[Cantidad]]</f>
        <v>537.38779999999997</v>
      </c>
      <c r="M88" s="1">
        <v>46057</v>
      </c>
      <c r="N88" t="str">
        <f>TEXT(Tabla1[[#This Row],[Fecha Entrega]],"mmmm")</f>
        <v>febrero</v>
      </c>
      <c r="O88" t="s">
        <v>31</v>
      </c>
    </row>
    <row r="89" spans="1:19" x14ac:dyDescent="0.25">
      <c r="A89" t="s">
        <v>17</v>
      </c>
      <c r="B89" s="1">
        <v>46044</v>
      </c>
      <c r="C89" t="s">
        <v>18</v>
      </c>
      <c r="D89">
        <v>520</v>
      </c>
      <c r="E89" t="s">
        <v>19</v>
      </c>
      <c r="F89" t="s">
        <v>46</v>
      </c>
      <c r="G89" t="s">
        <v>193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1100.164</v>
      </c>
      <c r="M89" s="1">
        <v>46063</v>
      </c>
      <c r="N89" t="str">
        <f>TEXT(Tabla1[[#This Row],[Fecha Entrega]],"mmmm")</f>
        <v>febrero</v>
      </c>
      <c r="O89" t="s">
        <v>31</v>
      </c>
      <c r="Q89">
        <v>4</v>
      </c>
      <c r="R89">
        <v>7</v>
      </c>
    </row>
    <row r="90" spans="1:19" x14ac:dyDescent="0.25">
      <c r="A90" t="s">
        <v>17</v>
      </c>
      <c r="B90" s="1">
        <v>46044</v>
      </c>
      <c r="C90" t="s">
        <v>18</v>
      </c>
      <c r="D90">
        <v>800</v>
      </c>
      <c r="E90" t="s">
        <v>19</v>
      </c>
      <c r="F90" t="s">
        <v>46</v>
      </c>
      <c r="G90" t="s">
        <v>193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1692.56</v>
      </c>
      <c r="M90" s="1">
        <v>46101</v>
      </c>
      <c r="N90" t="str">
        <f>TEXT(Tabla1[[#This Row],[Fecha Entrega]],"mmmm")</f>
        <v>marzo</v>
      </c>
      <c r="O90" t="s">
        <v>31</v>
      </c>
      <c r="P90" t="s">
        <v>168</v>
      </c>
      <c r="Q90">
        <v>4</v>
      </c>
      <c r="R90">
        <v>10</v>
      </c>
    </row>
    <row r="91" spans="1:19" x14ac:dyDescent="0.25">
      <c r="A91" t="s">
        <v>17</v>
      </c>
      <c r="B91" s="1">
        <v>46045</v>
      </c>
      <c r="C91" t="s">
        <v>18</v>
      </c>
      <c r="D91">
        <v>1000</v>
      </c>
      <c r="E91" t="s">
        <v>19</v>
      </c>
      <c r="F91" t="s">
        <v>46</v>
      </c>
      <c r="G91" t="s">
        <v>193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2115.6999999999998</v>
      </c>
      <c r="M91" s="1">
        <v>46157</v>
      </c>
      <c r="N91" t="str">
        <f>TEXT(Tabla1[[#This Row],[Fecha Entrega]],"mmmm")</f>
        <v>mayo</v>
      </c>
      <c r="O91" t="s">
        <v>31</v>
      </c>
    </row>
    <row r="92" spans="1:19" x14ac:dyDescent="0.25">
      <c r="A92" t="s">
        <v>17</v>
      </c>
      <c r="B92" s="1">
        <v>46041</v>
      </c>
      <c r="C92" t="s">
        <v>18</v>
      </c>
      <c r="D92">
        <v>17000</v>
      </c>
      <c r="E92" t="s">
        <v>19</v>
      </c>
      <c r="F92" t="s">
        <v>28</v>
      </c>
      <c r="G92" t="s">
        <v>29</v>
      </c>
      <c r="H92" t="s">
        <v>83</v>
      </c>
      <c r="I92" s="3" t="str">
        <f>VLOOKUP(Tabla1[[#This Row],[Articulo]],Tabla2[[Descripcion]:[Moneda]],3,FALSE)</f>
        <v>U$D</v>
      </c>
      <c r="J92" s="2">
        <f>VLOOKUP(Tabla1[[#This Row],[Articulo]],Tabla2[],4,FALSE)</f>
        <v>1.2</v>
      </c>
      <c r="K92" s="2">
        <f t="shared" si="2"/>
        <v>1.2</v>
      </c>
      <c r="L92" s="2">
        <f>Tabla1[[#This Row],[Importe]]*Tabla1[[#This Row],[Cantidad]]</f>
        <v>20400</v>
      </c>
      <c r="M92" s="1">
        <v>46037</v>
      </c>
      <c r="N92" t="str">
        <f>TEXT(Tabla1[[#This Row],[Fecha Entrega]],"mmmm")</f>
        <v>enero</v>
      </c>
      <c r="O92" t="s">
        <v>31</v>
      </c>
      <c r="Q92">
        <v>4</v>
      </c>
      <c r="R92">
        <v>3</v>
      </c>
      <c r="S92" t="s">
        <v>32</v>
      </c>
    </row>
    <row r="93" spans="1:19" x14ac:dyDescent="0.25">
      <c r="A93" t="s">
        <v>17</v>
      </c>
      <c r="B93" s="1">
        <v>46041</v>
      </c>
      <c r="C93" t="s">
        <v>18</v>
      </c>
      <c r="D93">
        <v>20000</v>
      </c>
      <c r="E93" t="s">
        <v>19</v>
      </c>
      <c r="F93" t="s">
        <v>28</v>
      </c>
      <c r="G93" t="s">
        <v>37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24000</v>
      </c>
      <c r="M93" s="1">
        <v>46023</v>
      </c>
      <c r="N93" t="str">
        <f>TEXT(Tabla1[[#This Row],[Fecha Entrega]],"mmmm")</f>
        <v>enero</v>
      </c>
      <c r="O93" t="s">
        <v>31</v>
      </c>
      <c r="Q93">
        <v>4</v>
      </c>
      <c r="R93">
        <v>1</v>
      </c>
      <c r="S93" t="s">
        <v>38</v>
      </c>
    </row>
    <row r="94" spans="1:19" x14ac:dyDescent="0.25">
      <c r="A94" t="s">
        <v>17</v>
      </c>
      <c r="B94" s="1">
        <v>46042</v>
      </c>
      <c r="C94" t="s">
        <v>18</v>
      </c>
      <c r="D94">
        <v>28800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34560</v>
      </c>
      <c r="M94" s="1">
        <v>46109</v>
      </c>
      <c r="N94" t="str">
        <f>TEXT(Tabla1[[#This Row],[Fecha Entrega]],"mmmm")</f>
        <v>marzo</v>
      </c>
      <c r="O94" t="s">
        <v>31</v>
      </c>
      <c r="P94" t="s">
        <v>146</v>
      </c>
      <c r="Q94">
        <v>4</v>
      </c>
      <c r="R94">
        <v>9</v>
      </c>
    </row>
    <row r="95" spans="1:19" x14ac:dyDescent="0.25">
      <c r="A95" t="s">
        <v>17</v>
      </c>
      <c r="B95" s="1">
        <v>46042</v>
      </c>
      <c r="C95" t="s">
        <v>18</v>
      </c>
      <c r="D95">
        <v>26500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31800</v>
      </c>
      <c r="M95" s="1">
        <v>46116</v>
      </c>
      <c r="N95" t="str">
        <f>TEXT(Tabla1[[#This Row],[Fecha Entrega]],"mmmm")</f>
        <v>abril</v>
      </c>
      <c r="O95" t="s">
        <v>31</v>
      </c>
      <c r="P95" t="s">
        <v>147</v>
      </c>
      <c r="Q95">
        <v>4</v>
      </c>
      <c r="R95">
        <v>12</v>
      </c>
    </row>
    <row r="96" spans="1:19" x14ac:dyDescent="0.25">
      <c r="A96" t="s">
        <v>17</v>
      </c>
      <c r="B96" s="1">
        <v>46127</v>
      </c>
      <c r="C96" t="s">
        <v>18</v>
      </c>
      <c r="D96">
        <v>10500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12600</v>
      </c>
      <c r="M96" s="1">
        <v>46128</v>
      </c>
      <c r="N96" t="str">
        <f>TEXT(Tabla1[[#This Row],[Fecha Entrega]],"mmmm")</f>
        <v>abril</v>
      </c>
      <c r="O96" t="s">
        <v>31</v>
      </c>
      <c r="P96" t="s">
        <v>155</v>
      </c>
    </row>
    <row r="97" spans="1:18" x14ac:dyDescent="0.25">
      <c r="A97" t="s">
        <v>17</v>
      </c>
      <c r="B97" s="1">
        <v>46135</v>
      </c>
      <c r="C97" t="s">
        <v>18</v>
      </c>
      <c r="D97">
        <v>5000</v>
      </c>
      <c r="E97" t="s">
        <v>19</v>
      </c>
      <c r="F97" t="s">
        <v>28</v>
      </c>
      <c r="G97" t="s">
        <v>29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6000</v>
      </c>
      <c r="M97" s="1">
        <v>46135</v>
      </c>
      <c r="N97" t="str">
        <f>TEXT(Tabla1[[#This Row],[Fecha Entrega]],"mmmm")</f>
        <v>abril</v>
      </c>
      <c r="O97" t="s">
        <v>31</v>
      </c>
      <c r="P97" t="s">
        <v>161</v>
      </c>
    </row>
    <row r="98" spans="1:18" x14ac:dyDescent="0.25">
      <c r="A98" t="s">
        <v>17</v>
      </c>
      <c r="B98" s="1">
        <v>46148</v>
      </c>
      <c r="C98" t="s">
        <v>18</v>
      </c>
      <c r="D98">
        <v>1200</v>
      </c>
      <c r="E98" t="s">
        <v>19</v>
      </c>
      <c r="F98" t="s">
        <v>28</v>
      </c>
      <c r="G98" t="s">
        <v>37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1440</v>
      </c>
      <c r="M98" s="1">
        <v>46148</v>
      </c>
      <c r="N98" t="str">
        <f>TEXT(Tabla1[[#This Row],[Fecha Entrega]],"mmmm")</f>
        <v>mayo</v>
      </c>
      <c r="O98" t="s">
        <v>31</v>
      </c>
      <c r="P98" t="s">
        <v>173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174</v>
      </c>
    </row>
    <row r="100" spans="1:18" x14ac:dyDescent="0.25">
      <c r="A100" t="s">
        <v>17</v>
      </c>
      <c r="B100" s="1">
        <v>46042</v>
      </c>
      <c r="C100" t="s">
        <v>18</v>
      </c>
      <c r="D100">
        <v>75</v>
      </c>
      <c r="E100" t="s">
        <v>19</v>
      </c>
      <c r="F100" t="s">
        <v>41</v>
      </c>
      <c r="G100" t="s">
        <v>21</v>
      </c>
      <c r="H100" t="s">
        <v>52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4.5</v>
      </c>
      <c r="K100" s="2">
        <f t="shared" si="2"/>
        <v>4.5</v>
      </c>
      <c r="L100" s="2">
        <f>Tabla1[[#This Row],[Importe]]*Tabla1[[#This Row],[Cantidad]]</f>
        <v>337.5</v>
      </c>
      <c r="M100" s="1">
        <v>46106</v>
      </c>
      <c r="N100" t="str">
        <f>TEXT(Tabla1[[#This Row],[Fecha Entrega]],"mmmm")</f>
        <v>marzo</v>
      </c>
      <c r="O100" t="s">
        <v>31</v>
      </c>
      <c r="Q100">
        <v>4</v>
      </c>
      <c r="R100">
        <v>7</v>
      </c>
    </row>
    <row r="101" spans="1:18" x14ac:dyDescent="0.25">
      <c r="A101" t="s">
        <v>17</v>
      </c>
      <c r="B101" s="1">
        <v>46042</v>
      </c>
      <c r="C101" t="s">
        <v>18</v>
      </c>
      <c r="D101">
        <v>400</v>
      </c>
      <c r="E101" t="s">
        <v>19</v>
      </c>
      <c r="F101" t="s">
        <v>41</v>
      </c>
      <c r="G101" t="s">
        <v>37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1800</v>
      </c>
      <c r="M101" s="1">
        <v>46111</v>
      </c>
      <c r="N101" t="str">
        <f>TEXT(Tabla1[[#This Row],[Fecha Entrega]],"mmmm")</f>
        <v>marzo</v>
      </c>
      <c r="O101" t="s">
        <v>31</v>
      </c>
      <c r="P101" t="s">
        <v>139</v>
      </c>
    </row>
    <row r="102" spans="1:18" x14ac:dyDescent="0.25">
      <c r="A102" t="s">
        <v>17</v>
      </c>
      <c r="B102" s="1">
        <v>46042</v>
      </c>
      <c r="C102" t="s">
        <v>18</v>
      </c>
      <c r="D102">
        <v>250</v>
      </c>
      <c r="E102" t="s">
        <v>19</v>
      </c>
      <c r="F102" t="s">
        <v>41</v>
      </c>
      <c r="G102" t="s">
        <v>89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1125</v>
      </c>
      <c r="M102" s="1">
        <v>46171</v>
      </c>
      <c r="N102" t="str">
        <f>TEXT(Tabla1[[#This Row],[Fecha Entrega]],"mmmm")</f>
        <v>mayo</v>
      </c>
      <c r="O102" t="s">
        <v>31</v>
      </c>
      <c r="P102" t="s">
        <v>182</v>
      </c>
    </row>
    <row r="103" spans="1:18" x14ac:dyDescent="0.25">
      <c r="A103" t="s">
        <v>17</v>
      </c>
      <c r="B103" s="1">
        <v>46042</v>
      </c>
      <c r="C103" t="s">
        <v>18</v>
      </c>
      <c r="D103">
        <v>400</v>
      </c>
      <c r="E103" t="s">
        <v>19</v>
      </c>
      <c r="F103" t="s">
        <v>41</v>
      </c>
      <c r="G103" t="s">
        <v>37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1800</v>
      </c>
      <c r="M103" s="1">
        <v>46128</v>
      </c>
      <c r="N103" t="str">
        <f>TEXT(Tabla1[[#This Row],[Fecha Entrega]],"mmmm")</f>
        <v>abril</v>
      </c>
      <c r="O103" t="s">
        <v>31</v>
      </c>
      <c r="P103" t="s">
        <v>155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46148</v>
      </c>
      <c r="N104" t="str">
        <f>TEXT(Tabla1[[#This Row],[Fecha Entrega]],"mmmm")</f>
        <v>mayo</v>
      </c>
      <c r="O104" t="s">
        <v>31</v>
      </c>
      <c r="P104" t="s">
        <v>173</v>
      </c>
    </row>
    <row r="105" spans="1:18" x14ac:dyDescent="0.25">
      <c r="A105" t="s">
        <v>17</v>
      </c>
      <c r="B105" s="1">
        <v>46044</v>
      </c>
      <c r="C105" t="s">
        <v>18</v>
      </c>
      <c r="D105">
        <v>335</v>
      </c>
      <c r="E105" t="s">
        <v>19</v>
      </c>
      <c r="F105" t="s">
        <v>49</v>
      </c>
      <c r="G105" t="s">
        <v>193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3.15</v>
      </c>
      <c r="K105" s="2">
        <f t="shared" si="2"/>
        <v>3.15</v>
      </c>
      <c r="L105" s="2">
        <f>Tabla1[[#This Row],[Importe]]*Tabla1[[#This Row],[Cantidad]]</f>
        <v>1055.25</v>
      </c>
      <c r="M105" s="1">
        <v>46157</v>
      </c>
      <c r="N105" t="str">
        <f>TEXT(Tabla1[[#This Row],[Fecha Entrega]],"mmmm")</f>
        <v>mayo</v>
      </c>
      <c r="O105" t="s">
        <v>31</v>
      </c>
      <c r="P105" t="s">
        <v>194</v>
      </c>
      <c r="Q105">
        <v>4</v>
      </c>
      <c r="R105">
        <v>7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193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ref="K106:K119" si="3">IF(I106="$", J106/$H$1, IF(I106="U$D", J106*1, 0))</f>
        <v>3.15</v>
      </c>
      <c r="L106" s="2">
        <f>Tabla1[[#This Row],[Importe]]*Tabla1[[#This Row],[Cantidad]]</f>
        <v>1055.25</v>
      </c>
      <c r="M106" s="1">
        <v>46188</v>
      </c>
      <c r="N106" t="str">
        <f>TEXT(Tabla1[[#This Row],[Fecha Entrega]],"mmmm")</f>
        <v>junio</v>
      </c>
      <c r="O106" t="s">
        <v>31</v>
      </c>
      <c r="P106" t="s">
        <v>194</v>
      </c>
      <c r="Q106">
        <v>4</v>
      </c>
      <c r="R106">
        <v>10</v>
      </c>
    </row>
    <row r="107" spans="1:18" x14ac:dyDescent="0.25">
      <c r="A107" t="s">
        <v>17</v>
      </c>
      <c r="B107" s="1">
        <v>46044</v>
      </c>
      <c r="C107" t="s">
        <v>18</v>
      </c>
      <c r="D107">
        <v>30</v>
      </c>
      <c r="E107" t="s">
        <v>19</v>
      </c>
      <c r="F107" t="s">
        <v>49</v>
      </c>
      <c r="G107" t="s">
        <v>193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si="3"/>
        <v>3.15</v>
      </c>
      <c r="L107" s="2">
        <f>Tabla1[[#This Row],[Importe]]*Tabla1[[#This Row],[Cantidad]]</f>
        <v>94.5</v>
      </c>
      <c r="M107" s="1">
        <v>46218</v>
      </c>
      <c r="N107" t="str">
        <f>TEXT(Tabla1[[#This Row],[Fecha Entrega]],"mmmm")</f>
        <v>julio</v>
      </c>
      <c r="O107" t="s">
        <v>31</v>
      </c>
      <c r="P107" t="s">
        <v>194</v>
      </c>
      <c r="Q107">
        <v>4</v>
      </c>
      <c r="R107">
        <v>14</v>
      </c>
    </row>
    <row r="108" spans="1:18" x14ac:dyDescent="0.25">
      <c r="A108" t="s">
        <v>17</v>
      </c>
      <c r="B108" s="1">
        <v>46044</v>
      </c>
      <c r="C108" t="s">
        <v>18</v>
      </c>
      <c r="D108">
        <v>1000</v>
      </c>
      <c r="E108" t="s">
        <v>19</v>
      </c>
      <c r="F108" t="s">
        <v>46</v>
      </c>
      <c r="G108" t="s">
        <v>193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2.1156999999999999</v>
      </c>
      <c r="K108" s="2">
        <f t="shared" si="3"/>
        <v>2.1156999999999999</v>
      </c>
      <c r="L108" s="2">
        <f>Tabla1[[#This Row],[Importe]]*Tabla1[[#This Row],[Cantidad]]</f>
        <v>2115.6999999999998</v>
      </c>
      <c r="M108" s="1">
        <v>46185</v>
      </c>
      <c r="N108" t="str">
        <f>TEXT(Tabla1[[#This Row],[Fecha Entrega]],"mmmm")</f>
        <v>junio</v>
      </c>
      <c r="O108" t="s">
        <v>31</v>
      </c>
      <c r="P108" t="s">
        <v>194</v>
      </c>
      <c r="Q108">
        <v>4</v>
      </c>
      <c r="R108">
        <v>14</v>
      </c>
    </row>
    <row r="109" spans="1:18" x14ac:dyDescent="0.25">
      <c r="A109" t="s">
        <v>17</v>
      </c>
      <c r="B109" s="1">
        <v>46128</v>
      </c>
      <c r="C109" t="s">
        <v>18</v>
      </c>
      <c r="D109">
        <v>600</v>
      </c>
      <c r="E109" t="s">
        <v>19</v>
      </c>
      <c r="F109" t="s">
        <v>26</v>
      </c>
      <c r="G109" t="s">
        <v>90</v>
      </c>
      <c r="H109" t="s">
        <v>83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0.34</v>
      </c>
      <c r="K109" s="2">
        <f t="shared" si="3"/>
        <v>0.34</v>
      </c>
      <c r="L109" s="2">
        <f>Tabla1[[#This Row],[Importe]]*Tabla1[[#This Row],[Cantidad]]</f>
        <v>204.00000000000003</v>
      </c>
      <c r="M109" s="1">
        <v>46167</v>
      </c>
      <c r="N109" t="str">
        <f>TEXT(Tabla1[[#This Row],[Fecha Entrega]],"mmmm")</f>
        <v>mayo</v>
      </c>
      <c r="O109" t="s">
        <v>31</v>
      </c>
      <c r="P109" t="s">
        <v>197</v>
      </c>
    </row>
    <row r="110" spans="1:18" x14ac:dyDescent="0.25">
      <c r="A110" t="s">
        <v>17</v>
      </c>
      <c r="B110" s="1">
        <v>46044</v>
      </c>
      <c r="C110" t="s">
        <v>18</v>
      </c>
      <c r="D110">
        <v>300</v>
      </c>
      <c r="E110" t="s">
        <v>19</v>
      </c>
      <c r="F110" t="s">
        <v>49</v>
      </c>
      <c r="H110" t="s">
        <v>52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3.15</v>
      </c>
      <c r="K110" s="2">
        <f t="shared" si="3"/>
        <v>3.15</v>
      </c>
      <c r="L110" s="2">
        <f>Tabla1[[#This Row],[Importe]]*Tabla1[[#This Row],[Cantidad]]</f>
        <v>945</v>
      </c>
      <c r="M110" s="1">
        <v>46218</v>
      </c>
      <c r="N110" t="str">
        <f>TEXT(Tabla1[[#This Row],[Fecha Entrega]],"mmmm")</f>
        <v>julio</v>
      </c>
      <c r="O110" t="s">
        <v>24</v>
      </c>
    </row>
    <row r="111" spans="1:18" x14ac:dyDescent="0.25">
      <c r="A111" t="s">
        <v>17</v>
      </c>
      <c r="B111" s="1">
        <v>46044</v>
      </c>
      <c r="C111" t="s">
        <v>18</v>
      </c>
      <c r="D111">
        <v>1600</v>
      </c>
      <c r="E111" t="s">
        <v>19</v>
      </c>
      <c r="F111" t="s">
        <v>47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12.7</v>
      </c>
      <c r="K111" s="2">
        <f t="shared" si="3"/>
        <v>12.7</v>
      </c>
      <c r="L111" s="2">
        <f>Tabla1[[#This Row],[Importe]]*Tabla1[[#This Row],[Cantidad]]</f>
        <v>20320</v>
      </c>
      <c r="M111" s="1">
        <v>46188</v>
      </c>
      <c r="N111" t="str">
        <f>TEXT(Tabla1[[#This Row],[Fecha Entrega]],"mmmm")</f>
        <v>junio</v>
      </c>
      <c r="O111" t="s">
        <v>24</v>
      </c>
      <c r="Q111">
        <v>4</v>
      </c>
      <c r="R111">
        <v>10</v>
      </c>
    </row>
    <row r="112" spans="1:18" x14ac:dyDescent="0.25">
      <c r="A112" t="s">
        <v>17</v>
      </c>
      <c r="B112" s="1">
        <v>46044</v>
      </c>
      <c r="C112" t="s">
        <v>18</v>
      </c>
      <c r="D112">
        <v>2400</v>
      </c>
      <c r="E112" t="s">
        <v>19</v>
      </c>
      <c r="F112" t="s">
        <v>47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12.7</v>
      </c>
      <c r="K112" s="2">
        <f t="shared" si="3"/>
        <v>12.7</v>
      </c>
      <c r="L112" s="2">
        <f>Tabla1[[#This Row],[Importe]]*Tabla1[[#This Row],[Cantidad]]</f>
        <v>30480</v>
      </c>
      <c r="M112" s="1">
        <v>46218</v>
      </c>
      <c r="N112" t="str">
        <f>TEXT(Tabla1[[#This Row],[Fecha Entrega]],"mmmm")</f>
        <v>julio</v>
      </c>
      <c r="O112" t="s">
        <v>24</v>
      </c>
      <c r="Q112">
        <v>4</v>
      </c>
      <c r="R112">
        <v>14</v>
      </c>
    </row>
    <row r="113" spans="1:18" x14ac:dyDescent="0.25">
      <c r="A113" t="s">
        <v>17</v>
      </c>
      <c r="B113" s="1">
        <v>46044</v>
      </c>
      <c r="C113" t="s">
        <v>18</v>
      </c>
      <c r="D113">
        <v>2500</v>
      </c>
      <c r="E113" t="s">
        <v>19</v>
      </c>
      <c r="F113" t="s">
        <v>44</v>
      </c>
      <c r="H113" t="s">
        <v>52</v>
      </c>
      <c r="I113" s="3" t="str">
        <f>VLOOKUP(Tabla1[[#This Row],[Articulo]],Tabla2[[Descripcion]:[Moneda]],3,FALSE)</f>
        <v>U$D</v>
      </c>
      <c r="J113" s="2">
        <f>VLOOKUP(Tabla1[[#This Row],[Articulo]],Tabla2[],4,FALSE)</f>
        <v>0.85</v>
      </c>
      <c r="K113" s="2">
        <f t="shared" si="3"/>
        <v>0.85</v>
      </c>
      <c r="L113" s="2">
        <f>Tabla1[[#This Row],[Importe]]*Tabla1[[#This Row],[Cantidad]]</f>
        <v>2125</v>
      </c>
      <c r="M113" s="1">
        <v>46178</v>
      </c>
      <c r="N113" t="str">
        <f>TEXT(Tabla1[[#This Row],[Fecha Entrega]],"mmmm")</f>
        <v>junio</v>
      </c>
      <c r="O113" t="s">
        <v>24</v>
      </c>
      <c r="Q113">
        <v>4</v>
      </c>
      <c r="R113">
        <v>18</v>
      </c>
    </row>
    <row r="114" spans="1:18" x14ac:dyDescent="0.25">
      <c r="A114" t="s">
        <v>17</v>
      </c>
      <c r="B114" s="1">
        <v>46044</v>
      </c>
      <c r="C114" t="s">
        <v>18</v>
      </c>
      <c r="D114">
        <v>250</v>
      </c>
      <c r="E114" t="s">
        <v>19</v>
      </c>
      <c r="F114" t="s">
        <v>44</v>
      </c>
      <c r="H114" t="s">
        <v>52</v>
      </c>
      <c r="I114" s="3" t="str">
        <f>VLOOKUP(Tabla1[[#This Row],[Articulo]],Tabla2[[Descripcion]:[Moneda]],3,FALSE)</f>
        <v>U$D</v>
      </c>
      <c r="J114" s="2">
        <f>VLOOKUP(Tabla1[[#This Row],[Articulo]],Tabla2[],4,FALSE)</f>
        <v>0.85</v>
      </c>
      <c r="K114" s="2">
        <f t="shared" si="3"/>
        <v>0.85</v>
      </c>
      <c r="L114" s="2">
        <f>Tabla1[[#This Row],[Importe]]*Tabla1[[#This Row],[Cantidad]]</f>
        <v>212.5</v>
      </c>
      <c r="M114" s="1">
        <v>46204</v>
      </c>
      <c r="N114" t="str">
        <f>TEXT(Tabla1[[#This Row],[Fecha Entrega]],"mmmm")</f>
        <v>julio</v>
      </c>
      <c r="O114" t="s">
        <v>24</v>
      </c>
      <c r="Q114">
        <v>4</v>
      </c>
      <c r="R114">
        <v>23</v>
      </c>
    </row>
    <row r="115" spans="1:18" x14ac:dyDescent="0.25">
      <c r="A115" t="s">
        <v>17</v>
      </c>
      <c r="B115" s="1">
        <v>46044</v>
      </c>
      <c r="C115" t="s">
        <v>18</v>
      </c>
      <c r="D115">
        <v>775</v>
      </c>
      <c r="E115" t="s">
        <v>19</v>
      </c>
      <c r="F115" t="s">
        <v>48</v>
      </c>
      <c r="H115" t="s">
        <v>52</v>
      </c>
      <c r="I115" s="3" t="str">
        <f>VLOOKUP(Tabla1[[#This Row],[Articulo]],Tabla2[[Descripcion]:[Moneda]],3,FALSE)</f>
        <v>U$D</v>
      </c>
      <c r="J115" s="2">
        <f>VLOOKUP(Tabla1[[#This Row],[Articulo]],Tabla2[],4,FALSE)</f>
        <v>2.95</v>
      </c>
      <c r="K115" s="2">
        <f t="shared" si="3"/>
        <v>2.95</v>
      </c>
      <c r="L115" s="2">
        <f>Tabla1[[#This Row],[Importe]]*Tabla1[[#This Row],[Cantidad]]</f>
        <v>2286.25</v>
      </c>
      <c r="M115" s="1">
        <v>46193</v>
      </c>
      <c r="N115" t="str">
        <f>TEXT(Tabla1[[#This Row],[Fecha Entrega]],"mmmm")</f>
        <v>junio</v>
      </c>
      <c r="O115" t="s">
        <v>24</v>
      </c>
      <c r="Q115">
        <v>4</v>
      </c>
      <c r="R115">
        <v>14</v>
      </c>
    </row>
    <row r="116" spans="1:18" x14ac:dyDescent="0.25">
      <c r="A116" t="s">
        <v>17</v>
      </c>
      <c r="B116" s="1">
        <v>46044</v>
      </c>
      <c r="C116" t="s">
        <v>18</v>
      </c>
      <c r="D116">
        <v>875</v>
      </c>
      <c r="E116" t="s">
        <v>19</v>
      </c>
      <c r="F116" t="s">
        <v>48</v>
      </c>
      <c r="H116" t="s">
        <v>52</v>
      </c>
      <c r="I116" s="3" t="str">
        <f>VLOOKUP(Tabla1[[#This Row],[Articulo]],Tabla2[[Descripcion]:[Moneda]],3,FALSE)</f>
        <v>U$D</v>
      </c>
      <c r="J116" s="2">
        <f>VLOOKUP(Tabla1[[#This Row],[Articulo]],Tabla2[],4,FALSE)</f>
        <v>2.95</v>
      </c>
      <c r="K116" s="2">
        <f t="shared" si="3"/>
        <v>2.95</v>
      </c>
      <c r="L116" s="2">
        <f>Tabla1[[#This Row],[Importe]]*Tabla1[[#This Row],[Cantidad]]</f>
        <v>2581.25</v>
      </c>
      <c r="M116" s="1">
        <v>46223</v>
      </c>
      <c r="N116" t="str">
        <f>TEXT(Tabla1[[#This Row],[Fecha Entrega]],"mmmm")</f>
        <v>julio</v>
      </c>
      <c r="O116" t="s">
        <v>24</v>
      </c>
      <c r="Q116">
        <v>4</v>
      </c>
      <c r="R116">
        <v>18</v>
      </c>
    </row>
    <row r="117" spans="1:18" x14ac:dyDescent="0.25">
      <c r="A117" t="s">
        <v>17</v>
      </c>
      <c r="B117" s="1">
        <v>46044</v>
      </c>
      <c r="C117" t="s">
        <v>18</v>
      </c>
      <c r="D117">
        <v>900</v>
      </c>
      <c r="E117" t="s">
        <v>19</v>
      </c>
      <c r="F117" t="s">
        <v>46</v>
      </c>
      <c r="H117" t="s">
        <v>52</v>
      </c>
      <c r="I117" s="3" t="str">
        <f>VLOOKUP(Tabla1[[#This Row],[Articulo]],Tabla2[[Descripcion]:[Moneda]],3,FALSE)</f>
        <v>U$D</v>
      </c>
      <c r="J117" s="2">
        <f>VLOOKUP(Tabla1[[#This Row],[Articulo]],Tabla2[],4,FALSE)</f>
        <v>2.1156999999999999</v>
      </c>
      <c r="K117" s="2">
        <f t="shared" si="3"/>
        <v>2.1156999999999999</v>
      </c>
      <c r="L117" s="2">
        <f>Tabla1[[#This Row],[Importe]]*Tabla1[[#This Row],[Cantidad]]</f>
        <v>1904.1299999999999</v>
      </c>
      <c r="M117" s="1">
        <v>46218</v>
      </c>
      <c r="N117" t="str">
        <f>TEXT(Tabla1[[#This Row],[Fecha Entrega]],"mmmm")</f>
        <v>julio</v>
      </c>
      <c r="O117" t="s">
        <v>24</v>
      </c>
    </row>
    <row r="118" spans="1:18" x14ac:dyDescent="0.25">
      <c r="A118" t="s">
        <v>17</v>
      </c>
      <c r="B118" s="1">
        <v>46044</v>
      </c>
      <c r="C118" t="s">
        <v>18</v>
      </c>
      <c r="D118">
        <v>1900</v>
      </c>
      <c r="E118" t="s">
        <v>19</v>
      </c>
      <c r="F118" t="s">
        <v>46</v>
      </c>
      <c r="H118" t="s">
        <v>52</v>
      </c>
      <c r="I118" s="3" t="str">
        <f>VLOOKUP(Tabla1[[#This Row],[Articulo]],Tabla2[[Descripcion]:[Moneda]],3,FALSE)</f>
        <v>U$D</v>
      </c>
      <c r="J118" s="2">
        <f>VLOOKUP(Tabla1[[#This Row],[Articulo]],Tabla2[],4,FALSE)</f>
        <v>2.1156999999999999</v>
      </c>
      <c r="K118" s="2">
        <f t="shared" si="3"/>
        <v>2.1156999999999999</v>
      </c>
      <c r="L118" s="2">
        <f>Tabla1[[#This Row],[Importe]]*Tabla1[[#This Row],[Cantidad]]</f>
        <v>4019.83</v>
      </c>
      <c r="M118" s="1">
        <v>46213</v>
      </c>
      <c r="N118" t="str">
        <f>TEXT(Tabla1[[#This Row],[Fecha Entrega]],"mmmm")</f>
        <v>julio</v>
      </c>
      <c r="O118" t="s">
        <v>24</v>
      </c>
      <c r="Q118">
        <v>4</v>
      </c>
      <c r="R118">
        <v>18</v>
      </c>
    </row>
    <row r="119" spans="1:18" x14ac:dyDescent="0.25">
      <c r="A119" t="s">
        <v>17</v>
      </c>
      <c r="B119" s="1">
        <v>46046</v>
      </c>
      <c r="C119" t="s">
        <v>18</v>
      </c>
      <c r="D119">
        <v>800</v>
      </c>
      <c r="E119" t="s">
        <v>19</v>
      </c>
      <c r="F119" t="s">
        <v>46</v>
      </c>
      <c r="H119" t="s">
        <v>52</v>
      </c>
      <c r="I119" s="3" t="str">
        <f>VLOOKUP(Tabla1[[#This Row],[Articulo]],Tabla2[[Descripcion]:[Moneda]],3,FALSE)</f>
        <v>U$D</v>
      </c>
      <c r="J119" s="2">
        <f>VLOOKUP(Tabla1[[#This Row],[Articulo]],Tabla2[],4,FALSE)</f>
        <v>2.1156999999999999</v>
      </c>
      <c r="K119" s="2">
        <f t="shared" si="3"/>
        <v>2.1156999999999999</v>
      </c>
      <c r="L119" s="2">
        <f>Tabla1[[#This Row],[Importe]]*Tabla1[[#This Row],[Cantidad]]</f>
        <v>1692.56</v>
      </c>
      <c r="M119" s="1">
        <v>46183</v>
      </c>
      <c r="N119" t="str">
        <f>TEXT(Tabla1[[#This Row],[Fecha Entrega]],"mmmm")</f>
        <v>junio</v>
      </c>
      <c r="O119" t="s">
        <v>24</v>
      </c>
    </row>
    <row r="120" spans="1:18" x14ac:dyDescent="0.25">
      <c r="A120" t="s">
        <v>17</v>
      </c>
      <c r="B120" s="1">
        <v>46253</v>
      </c>
      <c r="C120" t="s">
        <v>18</v>
      </c>
      <c r="D120">
        <v>30.76</v>
      </c>
      <c r="E120" t="s">
        <v>129</v>
      </c>
      <c r="F120" t="s">
        <v>195</v>
      </c>
      <c r="G120" t="s">
        <v>40</v>
      </c>
      <c r="H120" t="s">
        <v>83</v>
      </c>
      <c r="I120" s="3" t="str">
        <f>VLOOKUP(Tabla1[[#This Row],[Articulo]],Tabla2[[Descripcion]:[Moneda]],3,FALSE)</f>
        <v>$</v>
      </c>
      <c r="J120" s="2">
        <f>VLOOKUP(Tabla1[[#This Row],[Articulo]],Tabla2[],4,FALSE)</f>
        <v>101000</v>
      </c>
      <c r="K120" s="2">
        <f>IF(I120="$", J120/$H$1, IF(I120="U$D", J120*1, 0))</f>
        <v>65.798045602605868</v>
      </c>
      <c r="L120" s="2">
        <f>Tabla1[[#This Row],[Importe]]*Tabla1[[#This Row],[Cantidad]]</f>
        <v>2023.9478827361565</v>
      </c>
      <c r="M120" s="1">
        <v>46254</v>
      </c>
      <c r="N120" t="str">
        <f>TEXT(Tabla1[[#This Row],[Fecha Entrega]],"mmmm")</f>
        <v>agosto</v>
      </c>
      <c r="O120" t="s">
        <v>31</v>
      </c>
      <c r="P120" t="s">
        <v>196</v>
      </c>
    </row>
  </sheetData>
  <conditionalFormatting sqref="A10:P120">
    <cfRule type="expression" dxfId="0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108</v>
      </c>
      <c r="J2" s="16" t="s">
        <v>135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128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128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179</v>
      </c>
      <c r="B18" t="s">
        <v>128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109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110</v>
      </c>
      <c r="F26" t="s">
        <v>135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21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151</v>
      </c>
      <c r="E3" t="s">
        <v>57</v>
      </c>
      <c r="F3" t="s">
        <v>56</v>
      </c>
    </row>
    <row r="4" spans="1:6" x14ac:dyDescent="0.25">
      <c r="A4" t="s">
        <v>42</v>
      </c>
      <c r="B4" t="s">
        <v>24</v>
      </c>
      <c r="C4" t="s">
        <v>26</v>
      </c>
      <c r="D4" t="s">
        <v>184</v>
      </c>
      <c r="E4" s="12">
        <v>600</v>
      </c>
      <c r="F4" s="7">
        <v>204.00000000000003</v>
      </c>
    </row>
    <row r="5" spans="1:6" x14ac:dyDescent="0.25">
      <c r="C5" t="s">
        <v>49</v>
      </c>
      <c r="D5" t="s">
        <v>103</v>
      </c>
      <c r="E5" s="12">
        <v>335</v>
      </c>
      <c r="F5" s="7">
        <v>1055.25</v>
      </c>
    </row>
    <row r="6" spans="1:6" x14ac:dyDescent="0.25">
      <c r="C6" t="s">
        <v>47</v>
      </c>
      <c r="D6" t="s">
        <v>104</v>
      </c>
      <c r="E6" s="12">
        <v>1600</v>
      </c>
      <c r="F6" s="7">
        <v>20320</v>
      </c>
    </row>
    <row r="7" spans="1:6" x14ac:dyDescent="0.25">
      <c r="F7" s="7"/>
    </row>
    <row r="8" spans="1:6" x14ac:dyDescent="0.25">
      <c r="A8" t="s">
        <v>45</v>
      </c>
      <c r="B8" t="s">
        <v>24</v>
      </c>
      <c r="C8" t="s">
        <v>49</v>
      </c>
      <c r="D8" t="s">
        <v>105</v>
      </c>
      <c r="E8" s="12">
        <v>335</v>
      </c>
      <c r="F8" s="7">
        <v>1055.25</v>
      </c>
    </row>
    <row r="9" spans="1:6" x14ac:dyDescent="0.25">
      <c r="C9" t="s">
        <v>47</v>
      </c>
      <c r="D9" t="s">
        <v>105</v>
      </c>
      <c r="E9" s="12">
        <v>1600</v>
      </c>
      <c r="F9" s="7">
        <v>20320</v>
      </c>
    </row>
    <row r="10" spans="1:6" x14ac:dyDescent="0.25">
      <c r="C10" t="s">
        <v>44</v>
      </c>
      <c r="D10" t="s">
        <v>175</v>
      </c>
      <c r="E10" s="12">
        <v>2500</v>
      </c>
      <c r="F10" s="7">
        <v>2125</v>
      </c>
    </row>
    <row r="11" spans="1:6" x14ac:dyDescent="0.25">
      <c r="D11" t="s">
        <v>106</v>
      </c>
      <c r="E11" s="12">
        <v>1000</v>
      </c>
      <c r="F11" s="7">
        <v>850</v>
      </c>
    </row>
    <row r="12" spans="1:6" x14ac:dyDescent="0.25">
      <c r="C12" t="s">
        <v>48</v>
      </c>
      <c r="D12" t="s">
        <v>106</v>
      </c>
      <c r="E12" s="12">
        <v>775</v>
      </c>
      <c r="F12" s="7">
        <v>2286.25</v>
      </c>
    </row>
    <row r="13" spans="1:6" x14ac:dyDescent="0.25">
      <c r="C13" t="s">
        <v>46</v>
      </c>
      <c r="D13" t="s">
        <v>169</v>
      </c>
      <c r="E13" s="12">
        <v>1900</v>
      </c>
      <c r="F13" s="7">
        <v>4019.83</v>
      </c>
    </row>
    <row r="14" spans="1:6" x14ac:dyDescent="0.25">
      <c r="F14" s="7"/>
    </row>
    <row r="15" spans="1:6" x14ac:dyDescent="0.25">
      <c r="A15" t="s">
        <v>100</v>
      </c>
      <c r="B15" t="s">
        <v>24</v>
      </c>
      <c r="C15" t="s">
        <v>49</v>
      </c>
      <c r="D15" t="s">
        <v>170</v>
      </c>
      <c r="E15" s="12">
        <v>335</v>
      </c>
      <c r="F15" s="7">
        <v>1055.25</v>
      </c>
    </row>
    <row r="16" spans="1:6" x14ac:dyDescent="0.25">
      <c r="C16" t="s">
        <v>47</v>
      </c>
      <c r="D16" t="s">
        <v>170</v>
      </c>
      <c r="E16" s="12">
        <v>1800</v>
      </c>
      <c r="F16" s="7">
        <v>22860</v>
      </c>
    </row>
    <row r="17" spans="1:6" x14ac:dyDescent="0.25">
      <c r="C17" t="s">
        <v>44</v>
      </c>
      <c r="D17" t="s">
        <v>107</v>
      </c>
      <c r="E17" s="12">
        <v>2250</v>
      </c>
      <c r="F17" s="7">
        <v>1912.5</v>
      </c>
    </row>
    <row r="18" spans="1:6" x14ac:dyDescent="0.25">
      <c r="C18" t="s">
        <v>48</v>
      </c>
      <c r="D18" t="s">
        <v>171</v>
      </c>
      <c r="E18" s="12">
        <v>875</v>
      </c>
      <c r="F18" s="7">
        <v>2581.25</v>
      </c>
    </row>
    <row r="19" spans="1:6" x14ac:dyDescent="0.25">
      <c r="C19" t="s">
        <v>46</v>
      </c>
      <c r="D19" t="s">
        <v>172</v>
      </c>
      <c r="E19" s="12">
        <v>1900</v>
      </c>
      <c r="F19" s="7">
        <v>4019.83</v>
      </c>
    </row>
    <row r="20" spans="1:6" x14ac:dyDescent="0.25">
      <c r="F20" s="7"/>
    </row>
    <row r="21" spans="1:6" x14ac:dyDescent="0.25">
      <c r="A21" t="s">
        <v>53</v>
      </c>
      <c r="E21">
        <v>17805</v>
      </c>
      <c r="F21" s="7">
        <v>84664.41</v>
      </c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24" sqref="H24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1.5703125" bestFit="1" customWidth="1"/>
    <col min="4" max="4" width="7.5703125" bestFit="1" customWidth="1"/>
    <col min="5" max="5" width="17.4257812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6" ht="35.25" customHeight="1" x14ac:dyDescent="0.25"/>
    <row r="2" spans="1:6" ht="35.25" customHeight="1" x14ac:dyDescent="0.25"/>
    <row r="3" spans="1:6" x14ac:dyDescent="0.25">
      <c r="A3" s="12" t="s">
        <v>31</v>
      </c>
    </row>
    <row r="4" spans="1:6" x14ac:dyDescent="0.25">
      <c r="A4" s="6" t="s">
        <v>7</v>
      </c>
      <c r="B4" s="6" t="s">
        <v>5</v>
      </c>
      <c r="C4" s="6" t="s">
        <v>4</v>
      </c>
      <c r="D4" s="6" t="s">
        <v>11</v>
      </c>
      <c r="E4" t="s">
        <v>57</v>
      </c>
      <c r="F4" s="27" t="s">
        <v>56</v>
      </c>
    </row>
    <row r="5" spans="1:6" x14ac:dyDescent="0.25">
      <c r="A5" t="s">
        <v>52</v>
      </c>
      <c r="B5" t="s">
        <v>49</v>
      </c>
      <c r="C5" t="s">
        <v>19</v>
      </c>
      <c r="D5" t="s">
        <v>42</v>
      </c>
      <c r="E5">
        <v>335</v>
      </c>
      <c r="F5" s="27">
        <v>1055.25</v>
      </c>
    </row>
    <row r="6" spans="1:6" x14ac:dyDescent="0.25">
      <c r="D6" t="s">
        <v>45</v>
      </c>
      <c r="E6">
        <v>335</v>
      </c>
      <c r="F6" s="27">
        <v>1055.25</v>
      </c>
    </row>
    <row r="7" spans="1:6" x14ac:dyDescent="0.25">
      <c r="D7" t="s">
        <v>100</v>
      </c>
      <c r="E7">
        <v>335</v>
      </c>
      <c r="F7" s="27">
        <v>1055.25</v>
      </c>
    </row>
    <row r="8" spans="1:6" x14ac:dyDescent="0.25">
      <c r="B8" t="s">
        <v>47</v>
      </c>
      <c r="C8" t="s">
        <v>19</v>
      </c>
      <c r="D8" t="s">
        <v>42</v>
      </c>
      <c r="E8">
        <v>1600</v>
      </c>
      <c r="F8" s="27">
        <v>20320</v>
      </c>
    </row>
    <row r="9" spans="1:6" x14ac:dyDescent="0.25">
      <c r="D9" t="s">
        <v>45</v>
      </c>
      <c r="E9">
        <v>1600</v>
      </c>
      <c r="F9" s="27">
        <v>20320</v>
      </c>
    </row>
    <row r="10" spans="1:6" x14ac:dyDescent="0.25">
      <c r="D10" t="s">
        <v>100</v>
      </c>
      <c r="E10">
        <v>1800</v>
      </c>
      <c r="F10" s="27">
        <v>22860</v>
      </c>
    </row>
    <row r="11" spans="1:6" x14ac:dyDescent="0.25">
      <c r="B11" t="s">
        <v>44</v>
      </c>
      <c r="C11" t="s">
        <v>19</v>
      </c>
      <c r="D11" t="s">
        <v>45</v>
      </c>
      <c r="E11">
        <v>3500</v>
      </c>
      <c r="F11" s="27">
        <v>2975</v>
      </c>
    </row>
    <row r="12" spans="1:6" x14ac:dyDescent="0.25">
      <c r="D12" t="s">
        <v>100</v>
      </c>
      <c r="E12">
        <v>2250</v>
      </c>
      <c r="F12" s="27">
        <v>1912.5</v>
      </c>
    </row>
    <row r="13" spans="1:6" x14ac:dyDescent="0.25">
      <c r="B13" t="s">
        <v>48</v>
      </c>
      <c r="C13" t="s">
        <v>19</v>
      </c>
      <c r="D13" t="s">
        <v>45</v>
      </c>
      <c r="E13">
        <v>775</v>
      </c>
      <c r="F13" s="27">
        <v>2286.25</v>
      </c>
    </row>
    <row r="14" spans="1:6" x14ac:dyDescent="0.25">
      <c r="D14" t="s">
        <v>100</v>
      </c>
      <c r="E14">
        <v>875</v>
      </c>
      <c r="F14" s="27">
        <v>2581.25</v>
      </c>
    </row>
    <row r="15" spans="1:6" x14ac:dyDescent="0.25">
      <c r="B15" t="s">
        <v>46</v>
      </c>
      <c r="C15" t="s">
        <v>19</v>
      </c>
      <c r="D15" t="s">
        <v>45</v>
      </c>
      <c r="E15">
        <v>1900</v>
      </c>
      <c r="F15" s="27">
        <v>4019.83</v>
      </c>
    </row>
    <row r="16" spans="1:6" x14ac:dyDescent="0.25">
      <c r="D16" t="s">
        <v>100</v>
      </c>
      <c r="E16">
        <v>1900</v>
      </c>
      <c r="F16" s="27">
        <v>4019.83</v>
      </c>
    </row>
    <row r="17" spans="1:6" x14ac:dyDescent="0.25">
      <c r="A17" t="s">
        <v>54</v>
      </c>
      <c r="E17" s="40">
        <v>17205</v>
      </c>
      <c r="F17" s="27">
        <v>84460.41</v>
      </c>
    </row>
    <row r="18" spans="1:6" x14ac:dyDescent="0.25">
      <c r="F18" s="27"/>
    </row>
    <row r="19" spans="1:6" x14ac:dyDescent="0.25">
      <c r="A19" t="s">
        <v>83</v>
      </c>
      <c r="B19" t="s">
        <v>26</v>
      </c>
      <c r="C19" t="s">
        <v>19</v>
      </c>
      <c r="D19" t="s">
        <v>42</v>
      </c>
      <c r="E19">
        <v>600</v>
      </c>
      <c r="F19" s="27">
        <v>204.00000000000003</v>
      </c>
    </row>
    <row r="20" spans="1:6" x14ac:dyDescent="0.25">
      <c r="A20" t="s">
        <v>84</v>
      </c>
      <c r="E20" s="40">
        <v>600</v>
      </c>
      <c r="F20" s="27">
        <v>204.00000000000003</v>
      </c>
    </row>
    <row r="21" spans="1:6" x14ac:dyDescent="0.25">
      <c r="F21" s="27"/>
    </row>
    <row r="22" spans="1:6" x14ac:dyDescent="0.25">
      <c r="A22" t="s">
        <v>53</v>
      </c>
      <c r="E22" s="41">
        <v>17805</v>
      </c>
      <c r="F22" s="27">
        <v>84664.41</v>
      </c>
    </row>
    <row r="47" spans="8:8" x14ac:dyDescent="0.25">
      <c r="H47" t="s">
        <v>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>
        <v>1005</v>
      </c>
    </row>
    <row r="5" spans="1:4" x14ac:dyDescent="0.25">
      <c r="B5" t="s">
        <v>47</v>
      </c>
      <c r="C5" t="s">
        <v>19</v>
      </c>
      <c r="D5">
        <v>5000</v>
      </c>
    </row>
    <row r="6" spans="1:4" x14ac:dyDescent="0.25">
      <c r="B6" t="s">
        <v>50</v>
      </c>
      <c r="D6">
        <v>2400</v>
      </c>
    </row>
    <row r="7" spans="1:4" x14ac:dyDescent="0.25">
      <c r="B7" t="s">
        <v>44</v>
      </c>
      <c r="C7" t="s">
        <v>19</v>
      </c>
      <c r="D7">
        <v>15000</v>
      </c>
    </row>
    <row r="8" spans="1:4" x14ac:dyDescent="0.25">
      <c r="B8" t="s">
        <v>48</v>
      </c>
      <c r="C8" t="s">
        <v>19</v>
      </c>
      <c r="D8">
        <v>3750</v>
      </c>
    </row>
    <row r="9" spans="1:4" x14ac:dyDescent="0.25">
      <c r="B9" t="s">
        <v>46</v>
      </c>
      <c r="C9" t="s">
        <v>19</v>
      </c>
      <c r="D9">
        <v>7174</v>
      </c>
    </row>
    <row r="10" spans="1:4" x14ac:dyDescent="0.25">
      <c r="B10" t="s">
        <v>41</v>
      </c>
      <c r="C10" t="s">
        <v>19</v>
      </c>
      <c r="D10">
        <v>1525</v>
      </c>
    </row>
    <row r="12" spans="1:4" x14ac:dyDescent="0.25">
      <c r="A12" t="s">
        <v>83</v>
      </c>
      <c r="B12" t="s">
        <v>27</v>
      </c>
      <c r="C12" t="s">
        <v>19</v>
      </c>
      <c r="D12">
        <v>31470</v>
      </c>
    </row>
    <row r="13" spans="1:4" x14ac:dyDescent="0.25">
      <c r="B13" t="s">
        <v>35</v>
      </c>
      <c r="C13" t="s">
        <v>19</v>
      </c>
      <c r="D13">
        <v>200</v>
      </c>
    </row>
    <row r="14" spans="1:4" x14ac:dyDescent="0.25">
      <c r="B14" t="s">
        <v>36</v>
      </c>
      <c r="C14" t="s">
        <v>19</v>
      </c>
      <c r="D14">
        <v>3000</v>
      </c>
    </row>
    <row r="15" spans="1:4" x14ac:dyDescent="0.25">
      <c r="B15" t="s">
        <v>26</v>
      </c>
      <c r="C15" t="s">
        <v>19</v>
      </c>
      <c r="D15">
        <v>46000</v>
      </c>
    </row>
    <row r="16" spans="1:4" x14ac:dyDescent="0.25">
      <c r="B16" t="s">
        <v>20</v>
      </c>
      <c r="C16" t="s">
        <v>19</v>
      </c>
      <c r="D16">
        <v>6000</v>
      </c>
    </row>
    <row r="17" spans="1:4" x14ac:dyDescent="0.25">
      <c r="B17" t="s">
        <v>39</v>
      </c>
      <c r="C17" t="s">
        <v>129</v>
      </c>
      <c r="D17">
        <v>1138.1799999999998</v>
      </c>
    </row>
    <row r="18" spans="1:4" x14ac:dyDescent="0.25">
      <c r="B18" t="s">
        <v>43</v>
      </c>
      <c r="C18" t="s">
        <v>129</v>
      </c>
      <c r="D18">
        <v>185.08</v>
      </c>
    </row>
    <row r="19" spans="1:4" x14ac:dyDescent="0.25">
      <c r="B19" t="s">
        <v>28</v>
      </c>
      <c r="C19" t="s">
        <v>19</v>
      </c>
      <c r="D19">
        <v>110200</v>
      </c>
    </row>
    <row r="20" spans="1:4" x14ac:dyDescent="0.25">
      <c r="B20" t="s">
        <v>179</v>
      </c>
      <c r="C20" t="s">
        <v>129</v>
      </c>
      <c r="D20">
        <v>14.8</v>
      </c>
    </row>
    <row r="22" spans="1:4" x14ac:dyDescent="0.25">
      <c r="A22" t="s">
        <v>53</v>
      </c>
      <c r="D22">
        <v>234062.06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>
        <v>1005</v>
      </c>
      <c r="G4" s="7">
        <v>3165.75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>
        <v>5000</v>
      </c>
      <c r="G5" s="7">
        <v>63500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>
        <v>15000</v>
      </c>
      <c r="G7" s="7">
        <v>12750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>
        <v>3750</v>
      </c>
      <c r="G8" s="7">
        <v>11062.5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>
        <v>7174</v>
      </c>
      <c r="G9" s="7">
        <v>15178.031799999999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>
        <v>1525</v>
      </c>
      <c r="G10" s="7">
        <v>6862.5</v>
      </c>
    </row>
    <row r="11" spans="1:7" x14ac:dyDescent="0.25"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>
        <v>46000</v>
      </c>
      <c r="G15" s="7">
        <v>15640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129</v>
      </c>
      <c r="F17">
        <v>1138.1799999999998</v>
      </c>
      <c r="G17" s="7">
        <v>78468.382252559735</v>
      </c>
    </row>
    <row r="18" spans="1:7" x14ac:dyDescent="0.25">
      <c r="B18" t="s">
        <v>43</v>
      </c>
      <c r="C18" t="s">
        <v>9</v>
      </c>
      <c r="D18">
        <v>137500</v>
      </c>
      <c r="E18" t="s">
        <v>129</v>
      </c>
      <c r="F18">
        <v>185.08</v>
      </c>
      <c r="G18" s="7">
        <v>17370.989761092151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>
        <v>110200</v>
      </c>
      <c r="G19" s="7">
        <v>132240</v>
      </c>
    </row>
    <row r="20" spans="1:7" x14ac:dyDescent="0.25">
      <c r="B20" t="s">
        <v>179</v>
      </c>
      <c r="C20" t="s">
        <v>9</v>
      </c>
      <c r="D20">
        <v>155000</v>
      </c>
      <c r="E20" t="s">
        <v>129</v>
      </c>
      <c r="F20">
        <v>14.8</v>
      </c>
      <c r="G20" s="7">
        <v>1565.8703071672355</v>
      </c>
    </row>
    <row r="21" spans="1:7" x14ac:dyDescent="0.25">
      <c r="G21" s="7"/>
    </row>
    <row r="22" spans="1:7" x14ac:dyDescent="0.25">
      <c r="A22" t="s">
        <v>53</v>
      </c>
      <c r="F22" s="42">
        <v>234062.06</v>
      </c>
      <c r="G22" s="7">
        <v>435046.02412081917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71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5" width="7.570312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50</v>
      </c>
      <c r="D5" t="s">
        <v>19</v>
      </c>
      <c r="E5" t="s">
        <v>25</v>
      </c>
      <c r="F5">
        <v>500</v>
      </c>
      <c r="G5" s="27">
        <v>1400</v>
      </c>
    </row>
    <row r="6" spans="1:7" x14ac:dyDescent="0.25">
      <c r="E6" t="s">
        <v>34</v>
      </c>
      <c r="F6">
        <v>400</v>
      </c>
      <c r="G6" s="27">
        <v>1120</v>
      </c>
    </row>
    <row r="7" spans="1:7" x14ac:dyDescent="0.25">
      <c r="E7" t="s">
        <v>42</v>
      </c>
      <c r="F7">
        <v>1500</v>
      </c>
      <c r="G7" s="27">
        <v>4200</v>
      </c>
    </row>
    <row r="8" spans="1:7" x14ac:dyDescent="0.25">
      <c r="C8" t="s">
        <v>44</v>
      </c>
      <c r="D8" t="s">
        <v>19</v>
      </c>
      <c r="E8" t="s">
        <v>23</v>
      </c>
      <c r="F8">
        <v>4250</v>
      </c>
      <c r="G8" s="27">
        <v>3612.5</v>
      </c>
    </row>
    <row r="9" spans="1:7" x14ac:dyDescent="0.25">
      <c r="E9" t="s">
        <v>25</v>
      </c>
      <c r="F9">
        <v>2500</v>
      </c>
      <c r="G9" s="27">
        <v>2125</v>
      </c>
    </row>
    <row r="10" spans="1:7" x14ac:dyDescent="0.25">
      <c r="E10" t="s">
        <v>34</v>
      </c>
      <c r="F10">
        <v>500</v>
      </c>
      <c r="G10" s="27">
        <v>425</v>
      </c>
    </row>
    <row r="11" spans="1:7" x14ac:dyDescent="0.25">
      <c r="E11" t="s">
        <v>42</v>
      </c>
      <c r="F11">
        <v>1000</v>
      </c>
      <c r="G11" s="27">
        <v>850</v>
      </c>
    </row>
    <row r="12" spans="1:7" x14ac:dyDescent="0.25">
      <c r="E12" t="s">
        <v>45</v>
      </c>
      <c r="F12">
        <v>1000</v>
      </c>
      <c r="G12" s="27">
        <v>850</v>
      </c>
    </row>
    <row r="13" spans="1:7" x14ac:dyDescent="0.25">
      <c r="C13" t="s">
        <v>48</v>
      </c>
      <c r="D13" t="s">
        <v>19</v>
      </c>
      <c r="E13" t="s">
        <v>23</v>
      </c>
      <c r="F13">
        <v>2000</v>
      </c>
      <c r="G13" s="27">
        <v>5900</v>
      </c>
    </row>
    <row r="14" spans="1:7" x14ac:dyDescent="0.25">
      <c r="E14" t="s">
        <v>42</v>
      </c>
      <c r="F14">
        <v>100</v>
      </c>
      <c r="G14" s="27">
        <v>295</v>
      </c>
    </row>
    <row r="15" spans="1:7" x14ac:dyDescent="0.25">
      <c r="C15" t="s">
        <v>46</v>
      </c>
      <c r="D15" t="s">
        <v>19</v>
      </c>
      <c r="E15" t="s">
        <v>23</v>
      </c>
      <c r="F15">
        <v>774</v>
      </c>
      <c r="G15" s="27">
        <v>1637.5518</v>
      </c>
    </row>
    <row r="16" spans="1:7" x14ac:dyDescent="0.25">
      <c r="E16" t="s">
        <v>25</v>
      </c>
      <c r="F16">
        <v>800</v>
      </c>
      <c r="G16" s="27">
        <v>1692.56</v>
      </c>
    </row>
    <row r="17" spans="2:7" x14ac:dyDescent="0.25">
      <c r="E17" t="s">
        <v>42</v>
      </c>
      <c r="F17">
        <v>1000</v>
      </c>
      <c r="G17" s="27">
        <v>2115.6999999999998</v>
      </c>
    </row>
    <row r="18" spans="2:7" x14ac:dyDescent="0.25">
      <c r="C18" t="s">
        <v>41</v>
      </c>
      <c r="D18" t="s">
        <v>19</v>
      </c>
      <c r="E18" t="s">
        <v>25</v>
      </c>
      <c r="F18">
        <v>475</v>
      </c>
      <c r="G18" s="27">
        <v>2137.5</v>
      </c>
    </row>
    <row r="19" spans="2:7" x14ac:dyDescent="0.25">
      <c r="E19" t="s">
        <v>34</v>
      </c>
      <c r="F19">
        <v>400</v>
      </c>
      <c r="G19" s="27">
        <v>1800</v>
      </c>
    </row>
    <row r="20" spans="2:7" x14ac:dyDescent="0.25">
      <c r="E20" t="s">
        <v>42</v>
      </c>
      <c r="F20">
        <v>650</v>
      </c>
      <c r="G20" s="27">
        <v>2925</v>
      </c>
    </row>
    <row r="21" spans="2:7" x14ac:dyDescent="0.25">
      <c r="B21" t="s">
        <v>97</v>
      </c>
      <c r="F21">
        <v>17849</v>
      </c>
      <c r="G21" s="27">
        <v>33085.811800000003</v>
      </c>
    </row>
    <row r="22" spans="2:7" x14ac:dyDescent="0.25">
      <c r="B22" t="s">
        <v>24</v>
      </c>
      <c r="C22" t="s">
        <v>49</v>
      </c>
      <c r="D22" t="s">
        <v>19</v>
      </c>
      <c r="E22" t="s">
        <v>42</v>
      </c>
      <c r="F22">
        <v>335</v>
      </c>
      <c r="G22" s="27">
        <v>1055.25</v>
      </c>
    </row>
    <row r="23" spans="2:7" x14ac:dyDescent="0.25">
      <c r="E23" t="s">
        <v>45</v>
      </c>
      <c r="F23">
        <v>335</v>
      </c>
      <c r="G23" s="27">
        <v>1055.25</v>
      </c>
    </row>
    <row r="24" spans="2:7" x14ac:dyDescent="0.25">
      <c r="E24" t="s">
        <v>100</v>
      </c>
      <c r="F24">
        <v>335</v>
      </c>
      <c r="G24" s="27">
        <v>1055.25</v>
      </c>
    </row>
    <row r="25" spans="2:7" x14ac:dyDescent="0.25">
      <c r="C25" t="s">
        <v>47</v>
      </c>
      <c r="D25" t="s">
        <v>19</v>
      </c>
      <c r="E25" t="s">
        <v>42</v>
      </c>
      <c r="F25">
        <v>1600</v>
      </c>
      <c r="G25" s="27">
        <v>20320</v>
      </c>
    </row>
    <row r="26" spans="2:7" x14ac:dyDescent="0.25">
      <c r="E26" t="s">
        <v>45</v>
      </c>
      <c r="F26">
        <v>1600</v>
      </c>
      <c r="G26" s="27">
        <v>20320</v>
      </c>
    </row>
    <row r="27" spans="2:7" x14ac:dyDescent="0.25">
      <c r="E27" t="s">
        <v>100</v>
      </c>
      <c r="F27">
        <v>1800</v>
      </c>
      <c r="G27" s="27">
        <v>22860</v>
      </c>
    </row>
    <row r="28" spans="2:7" x14ac:dyDescent="0.25">
      <c r="C28" t="s">
        <v>44</v>
      </c>
      <c r="D28" t="s">
        <v>19</v>
      </c>
      <c r="E28" t="s">
        <v>45</v>
      </c>
      <c r="F28">
        <v>3500</v>
      </c>
      <c r="G28" s="27">
        <v>2975</v>
      </c>
    </row>
    <row r="29" spans="2:7" x14ac:dyDescent="0.25">
      <c r="E29" t="s">
        <v>100</v>
      </c>
      <c r="F29">
        <v>2250</v>
      </c>
      <c r="G29" s="27">
        <v>1912.5</v>
      </c>
    </row>
    <row r="30" spans="2:7" x14ac:dyDescent="0.25">
      <c r="C30" t="s">
        <v>48</v>
      </c>
      <c r="D30" t="s">
        <v>19</v>
      </c>
      <c r="E30" t="s">
        <v>45</v>
      </c>
      <c r="F30">
        <v>775</v>
      </c>
      <c r="G30" s="27">
        <v>2286.25</v>
      </c>
    </row>
    <row r="31" spans="2:7" x14ac:dyDescent="0.25">
      <c r="E31" t="s">
        <v>100</v>
      </c>
      <c r="F31">
        <v>875</v>
      </c>
      <c r="G31" s="27">
        <v>2581.25</v>
      </c>
    </row>
    <row r="32" spans="2:7" x14ac:dyDescent="0.25">
      <c r="C32" t="s">
        <v>46</v>
      </c>
      <c r="D32" t="s">
        <v>19</v>
      </c>
      <c r="E32" t="s">
        <v>45</v>
      </c>
      <c r="F32">
        <v>1900</v>
      </c>
      <c r="G32" s="27">
        <v>4019.83</v>
      </c>
    </row>
    <row r="33" spans="1:7" x14ac:dyDescent="0.25">
      <c r="E33" t="s">
        <v>100</v>
      </c>
      <c r="F33">
        <v>1900</v>
      </c>
      <c r="G33" s="27">
        <v>4019.83</v>
      </c>
    </row>
    <row r="34" spans="1:7" x14ac:dyDescent="0.25">
      <c r="B34" t="s">
        <v>98</v>
      </c>
      <c r="F34">
        <v>17205</v>
      </c>
      <c r="G34" s="27">
        <v>84460.41</v>
      </c>
    </row>
    <row r="35" spans="1:7" x14ac:dyDescent="0.25">
      <c r="B35" t="s">
        <v>185</v>
      </c>
      <c r="C35" t="s">
        <v>46</v>
      </c>
      <c r="D35" t="s">
        <v>19</v>
      </c>
      <c r="E35" t="s">
        <v>45</v>
      </c>
      <c r="F35">
        <v>800</v>
      </c>
      <c r="G35" s="27">
        <v>1692.56</v>
      </c>
    </row>
    <row r="36" spans="1:7" x14ac:dyDescent="0.25">
      <c r="B36" t="s">
        <v>186</v>
      </c>
      <c r="F36">
        <v>800</v>
      </c>
      <c r="G36" s="27">
        <v>1692.56</v>
      </c>
    </row>
    <row r="37" spans="1:7" x14ac:dyDescent="0.25">
      <c r="A37" t="s">
        <v>54</v>
      </c>
      <c r="F37" s="40">
        <v>35854</v>
      </c>
      <c r="G37" s="27">
        <v>119238.7818</v>
      </c>
    </row>
    <row r="38" spans="1:7" x14ac:dyDescent="0.25">
      <c r="G38" s="27"/>
    </row>
    <row r="39" spans="1:7" x14ac:dyDescent="0.25">
      <c r="A39" t="s">
        <v>83</v>
      </c>
      <c r="B39" t="s">
        <v>31</v>
      </c>
      <c r="C39" t="s">
        <v>27</v>
      </c>
      <c r="D39" t="s">
        <v>19</v>
      </c>
      <c r="E39" t="s">
        <v>23</v>
      </c>
      <c r="F39">
        <v>8670</v>
      </c>
      <c r="G39" s="27">
        <v>13872</v>
      </c>
    </row>
    <row r="40" spans="1:7" x14ac:dyDescent="0.25">
      <c r="E40" t="s">
        <v>25</v>
      </c>
      <c r="F40">
        <v>12000</v>
      </c>
      <c r="G40" s="27">
        <v>19200</v>
      </c>
    </row>
    <row r="41" spans="1:7" x14ac:dyDescent="0.25">
      <c r="E41" t="s">
        <v>34</v>
      </c>
      <c r="F41">
        <v>4800</v>
      </c>
      <c r="G41" s="27">
        <v>7680</v>
      </c>
    </row>
    <row r="42" spans="1:7" x14ac:dyDescent="0.25">
      <c r="E42" t="s">
        <v>42</v>
      </c>
      <c r="F42">
        <v>6000</v>
      </c>
      <c r="G42" s="27">
        <v>9600</v>
      </c>
    </row>
    <row r="43" spans="1:7" x14ac:dyDescent="0.25">
      <c r="C43" t="s">
        <v>35</v>
      </c>
      <c r="D43" t="s">
        <v>19</v>
      </c>
      <c r="E43" t="s">
        <v>25</v>
      </c>
      <c r="F43">
        <v>200</v>
      </c>
      <c r="G43" s="27">
        <v>819.99999999999989</v>
      </c>
    </row>
    <row r="44" spans="1:7" x14ac:dyDescent="0.25">
      <c r="C44" t="s">
        <v>36</v>
      </c>
      <c r="D44" t="s">
        <v>19</v>
      </c>
      <c r="E44" t="s">
        <v>25</v>
      </c>
      <c r="F44">
        <v>3000</v>
      </c>
      <c r="G44" s="27">
        <v>4650</v>
      </c>
    </row>
    <row r="45" spans="1:7" x14ac:dyDescent="0.25">
      <c r="C45" t="s">
        <v>26</v>
      </c>
      <c r="D45" t="s">
        <v>19</v>
      </c>
      <c r="E45" t="s">
        <v>30</v>
      </c>
      <c r="F45">
        <v>7000</v>
      </c>
      <c r="G45" s="27">
        <v>2380</v>
      </c>
    </row>
    <row r="46" spans="1:7" x14ac:dyDescent="0.25">
      <c r="E46" t="s">
        <v>23</v>
      </c>
      <c r="F46">
        <v>10000</v>
      </c>
      <c r="G46" s="27">
        <v>3400.0000000000005</v>
      </c>
    </row>
    <row r="47" spans="1:7" x14ac:dyDescent="0.25">
      <c r="E47" t="s">
        <v>25</v>
      </c>
      <c r="F47">
        <v>14000</v>
      </c>
      <c r="G47" s="27">
        <v>4760</v>
      </c>
    </row>
    <row r="48" spans="1:7" x14ac:dyDescent="0.25">
      <c r="E48" t="s">
        <v>34</v>
      </c>
      <c r="F48">
        <v>12000</v>
      </c>
      <c r="G48" s="27">
        <v>4080.0000000000005</v>
      </c>
    </row>
    <row r="49" spans="3:7" x14ac:dyDescent="0.25">
      <c r="E49" t="s">
        <v>42</v>
      </c>
      <c r="F49">
        <v>2400</v>
      </c>
      <c r="G49" s="27">
        <v>816.00000000000011</v>
      </c>
    </row>
    <row r="50" spans="3:7" x14ac:dyDescent="0.25">
      <c r="C50" t="s">
        <v>20</v>
      </c>
      <c r="D50" t="s">
        <v>19</v>
      </c>
      <c r="E50" t="s">
        <v>23</v>
      </c>
      <c r="F50">
        <v>5000</v>
      </c>
      <c r="G50" s="27">
        <v>12250</v>
      </c>
    </row>
    <row r="51" spans="3:7" x14ac:dyDescent="0.25">
      <c r="E51" t="s">
        <v>25</v>
      </c>
      <c r="F51">
        <v>1000</v>
      </c>
      <c r="G51" s="27">
        <v>2450</v>
      </c>
    </row>
    <row r="52" spans="3:7" x14ac:dyDescent="0.25">
      <c r="C52" t="s">
        <v>39</v>
      </c>
      <c r="D52" t="s">
        <v>129</v>
      </c>
      <c r="E52" t="s">
        <v>30</v>
      </c>
      <c r="F52">
        <v>72.06</v>
      </c>
      <c r="G52" s="27">
        <v>4967.9590443686002</v>
      </c>
    </row>
    <row r="53" spans="3:7" x14ac:dyDescent="0.25">
      <c r="E53" t="s">
        <v>23</v>
      </c>
      <c r="F53">
        <v>203.38</v>
      </c>
      <c r="G53" s="27">
        <v>14021.419795221844</v>
      </c>
    </row>
    <row r="54" spans="3:7" x14ac:dyDescent="0.25">
      <c r="E54" t="s">
        <v>25</v>
      </c>
      <c r="F54">
        <v>360.96000000000004</v>
      </c>
      <c r="G54" s="27">
        <v>24885.29692832764</v>
      </c>
    </row>
    <row r="55" spans="3:7" x14ac:dyDescent="0.25">
      <c r="E55" t="s">
        <v>34</v>
      </c>
      <c r="F55">
        <v>288.98</v>
      </c>
      <c r="G55" s="27">
        <v>19922.853242320816</v>
      </c>
    </row>
    <row r="56" spans="3:7" x14ac:dyDescent="0.25">
      <c r="E56" t="s">
        <v>42</v>
      </c>
      <c r="F56">
        <v>212.8</v>
      </c>
      <c r="G56" s="27">
        <v>14670.853242320818</v>
      </c>
    </row>
    <row r="57" spans="3:7" x14ac:dyDescent="0.25">
      <c r="C57" t="s">
        <v>43</v>
      </c>
      <c r="D57" t="s">
        <v>129</v>
      </c>
      <c r="E57" t="s">
        <v>23</v>
      </c>
      <c r="F57">
        <v>57.08</v>
      </c>
      <c r="G57" s="27">
        <v>5357.337883959045</v>
      </c>
    </row>
    <row r="58" spans="3:7" x14ac:dyDescent="0.25">
      <c r="E58" t="s">
        <v>25</v>
      </c>
      <c r="F58">
        <v>57.6</v>
      </c>
      <c r="G58" s="27">
        <v>5406.143344709898</v>
      </c>
    </row>
    <row r="59" spans="3:7" x14ac:dyDescent="0.25">
      <c r="E59" t="s">
        <v>34</v>
      </c>
      <c r="F59">
        <v>55.6</v>
      </c>
      <c r="G59" s="27">
        <v>5218.430034129693</v>
      </c>
    </row>
    <row r="60" spans="3:7" x14ac:dyDescent="0.25">
      <c r="E60" t="s">
        <v>42</v>
      </c>
      <c r="F60">
        <v>14.8</v>
      </c>
      <c r="G60" s="27">
        <v>1389.0784982935156</v>
      </c>
    </row>
    <row r="61" spans="3:7" x14ac:dyDescent="0.25">
      <c r="C61" t="s">
        <v>28</v>
      </c>
      <c r="D61" t="s">
        <v>19</v>
      </c>
      <c r="E61" t="s">
        <v>30</v>
      </c>
      <c r="F61">
        <v>37000</v>
      </c>
      <c r="G61" s="27">
        <v>44400</v>
      </c>
    </row>
    <row r="62" spans="3:7" x14ac:dyDescent="0.25">
      <c r="E62" t="s">
        <v>25</v>
      </c>
      <c r="F62">
        <v>28800</v>
      </c>
      <c r="G62" s="27">
        <v>34560</v>
      </c>
    </row>
    <row r="63" spans="3:7" x14ac:dyDescent="0.25">
      <c r="E63" t="s">
        <v>34</v>
      </c>
      <c r="F63">
        <v>42000</v>
      </c>
      <c r="G63" s="27">
        <v>50400</v>
      </c>
    </row>
    <row r="64" spans="3:7" x14ac:dyDescent="0.25">
      <c r="E64" t="s">
        <v>42</v>
      </c>
      <c r="F64">
        <v>2400</v>
      </c>
      <c r="G64" s="27">
        <v>2880</v>
      </c>
    </row>
    <row r="65" spans="1:7" x14ac:dyDescent="0.25">
      <c r="C65" t="s">
        <v>179</v>
      </c>
      <c r="D65" t="s">
        <v>129</v>
      </c>
      <c r="E65" t="s">
        <v>42</v>
      </c>
      <c r="F65">
        <v>14.8</v>
      </c>
      <c r="G65" s="27">
        <v>1565.8703071672355</v>
      </c>
    </row>
    <row r="66" spans="1:7" x14ac:dyDescent="0.25">
      <c r="B66" t="s">
        <v>97</v>
      </c>
      <c r="F66">
        <v>197608.06</v>
      </c>
      <c r="G66" s="27">
        <v>315603.24232081918</v>
      </c>
    </row>
    <row r="67" spans="1:7" x14ac:dyDescent="0.25">
      <c r="B67" t="s">
        <v>24</v>
      </c>
      <c r="C67" t="s">
        <v>26</v>
      </c>
      <c r="D67" t="s">
        <v>19</v>
      </c>
      <c r="E67" t="s">
        <v>42</v>
      </c>
      <c r="F67">
        <v>600</v>
      </c>
      <c r="G67" s="27">
        <v>204.00000000000003</v>
      </c>
    </row>
    <row r="68" spans="1:7" x14ac:dyDescent="0.25">
      <c r="B68" t="s">
        <v>98</v>
      </c>
      <c r="F68">
        <v>600</v>
      </c>
      <c r="G68" s="27">
        <v>204.00000000000003</v>
      </c>
    </row>
    <row r="69" spans="1:7" x14ac:dyDescent="0.25">
      <c r="A69" t="s">
        <v>84</v>
      </c>
      <c r="F69" s="40">
        <v>198208.06</v>
      </c>
      <c r="G69" s="27">
        <v>315807.24232081918</v>
      </c>
    </row>
    <row r="70" spans="1:7" x14ac:dyDescent="0.25">
      <c r="G70" s="27"/>
    </row>
    <row r="71" spans="1:7" x14ac:dyDescent="0.25">
      <c r="A71" t="s">
        <v>53</v>
      </c>
      <c r="F71" s="41">
        <v>234062.06</v>
      </c>
      <c r="G71" s="27">
        <v>435046.02412081911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54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>
        <v>7000</v>
      </c>
      <c r="E5" s="27">
        <v>2380</v>
      </c>
    </row>
    <row r="6" spans="1:5" x14ac:dyDescent="0.25">
      <c r="B6" t="s">
        <v>39</v>
      </c>
      <c r="C6" t="s">
        <v>129</v>
      </c>
      <c r="D6">
        <v>72.06</v>
      </c>
      <c r="E6" s="27">
        <v>4967.9590443686002</v>
      </c>
    </row>
    <row r="7" spans="1:5" x14ac:dyDescent="0.25">
      <c r="B7" t="s">
        <v>28</v>
      </c>
      <c r="C7" t="s">
        <v>19</v>
      </c>
      <c r="D7">
        <v>37000</v>
      </c>
      <c r="E7" s="27">
        <v>44400</v>
      </c>
    </row>
    <row r="8" spans="1:5" x14ac:dyDescent="0.25">
      <c r="A8" t="s">
        <v>133</v>
      </c>
      <c r="D8">
        <v>44072.06</v>
      </c>
      <c r="E8" s="27">
        <v>51747.959044368603</v>
      </c>
    </row>
    <row r="9" spans="1:5" x14ac:dyDescent="0.25">
      <c r="A9" t="s">
        <v>23</v>
      </c>
      <c r="B9" t="s">
        <v>27</v>
      </c>
      <c r="C9" t="s">
        <v>19</v>
      </c>
      <c r="D9">
        <v>8670</v>
      </c>
      <c r="E9" s="27">
        <v>13872</v>
      </c>
    </row>
    <row r="10" spans="1:5" x14ac:dyDescent="0.25">
      <c r="B10" t="s">
        <v>26</v>
      </c>
      <c r="C10" t="s">
        <v>19</v>
      </c>
      <c r="D10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>
        <v>5000</v>
      </c>
      <c r="E11" s="27">
        <v>12250</v>
      </c>
    </row>
    <row r="12" spans="1:5" x14ac:dyDescent="0.25">
      <c r="B12" t="s">
        <v>44</v>
      </c>
      <c r="C12" t="s">
        <v>19</v>
      </c>
      <c r="D12">
        <v>4250</v>
      </c>
      <c r="E12" s="27">
        <v>3612.5</v>
      </c>
    </row>
    <row r="13" spans="1:5" x14ac:dyDescent="0.25">
      <c r="B13" t="s">
        <v>39</v>
      </c>
      <c r="C13" t="s">
        <v>129</v>
      </c>
      <c r="D13">
        <v>203.38</v>
      </c>
      <c r="E13" s="27">
        <v>14021.419795221844</v>
      </c>
    </row>
    <row r="14" spans="1:5" x14ac:dyDescent="0.25">
      <c r="B14" t="s">
        <v>43</v>
      </c>
      <c r="C14" t="s">
        <v>129</v>
      </c>
      <c r="D14">
        <v>57.08</v>
      </c>
      <c r="E14" s="27">
        <v>5357.337883959045</v>
      </c>
    </row>
    <row r="15" spans="1:5" x14ac:dyDescent="0.25">
      <c r="B15" t="s">
        <v>48</v>
      </c>
      <c r="C15" t="s">
        <v>19</v>
      </c>
      <c r="D15">
        <v>2000</v>
      </c>
      <c r="E15" s="27">
        <v>5900</v>
      </c>
    </row>
    <row r="16" spans="1:5" x14ac:dyDescent="0.25">
      <c r="B16" t="s">
        <v>46</v>
      </c>
      <c r="C16" t="s">
        <v>19</v>
      </c>
      <c r="D16">
        <v>774</v>
      </c>
      <c r="E16" s="27">
        <v>1637.5518</v>
      </c>
    </row>
    <row r="17" spans="1:5" x14ac:dyDescent="0.25">
      <c r="A17" t="s">
        <v>134</v>
      </c>
      <c r="D17">
        <v>30954.460000000003</v>
      </c>
      <c r="E17" s="27">
        <v>60050.809479180891</v>
      </c>
    </row>
    <row r="18" spans="1:5" x14ac:dyDescent="0.25">
      <c r="A18" t="s">
        <v>25</v>
      </c>
      <c r="B18" t="s">
        <v>27</v>
      </c>
      <c r="C18" t="s">
        <v>19</v>
      </c>
      <c r="D18">
        <v>12000</v>
      </c>
      <c r="E18" s="27">
        <v>19200</v>
      </c>
    </row>
    <row r="19" spans="1:5" x14ac:dyDescent="0.25">
      <c r="B19" t="s">
        <v>35</v>
      </c>
      <c r="C19" t="s">
        <v>19</v>
      </c>
      <c r="D19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>
        <v>3000</v>
      </c>
      <c r="E20" s="27">
        <v>4650</v>
      </c>
    </row>
    <row r="21" spans="1:5" x14ac:dyDescent="0.25">
      <c r="B21" t="s">
        <v>26</v>
      </c>
      <c r="C21" t="s">
        <v>19</v>
      </c>
      <c r="D21">
        <v>14000</v>
      </c>
      <c r="E21" s="27">
        <v>4760</v>
      </c>
    </row>
    <row r="22" spans="1:5" x14ac:dyDescent="0.25">
      <c r="B22" t="s">
        <v>20</v>
      </c>
      <c r="C22" t="s">
        <v>19</v>
      </c>
      <c r="D22">
        <v>1000</v>
      </c>
      <c r="E22" s="27">
        <v>2450</v>
      </c>
    </row>
    <row r="23" spans="1:5" x14ac:dyDescent="0.25">
      <c r="B23" t="s">
        <v>50</v>
      </c>
      <c r="C23" t="s">
        <v>19</v>
      </c>
      <c r="D23">
        <v>500</v>
      </c>
      <c r="E23" s="27">
        <v>1400</v>
      </c>
    </row>
    <row r="24" spans="1:5" x14ac:dyDescent="0.25">
      <c r="B24" t="s">
        <v>44</v>
      </c>
      <c r="C24" t="s">
        <v>19</v>
      </c>
      <c r="D24">
        <v>2500</v>
      </c>
      <c r="E24" s="27">
        <v>2125</v>
      </c>
    </row>
    <row r="25" spans="1:5" x14ac:dyDescent="0.25">
      <c r="B25" t="s">
        <v>39</v>
      </c>
      <c r="C25" t="s">
        <v>129</v>
      </c>
      <c r="D25">
        <v>360.96000000000004</v>
      </c>
      <c r="E25" s="27">
        <v>24885.29692832764</v>
      </c>
    </row>
    <row r="26" spans="1:5" x14ac:dyDescent="0.25">
      <c r="B26" t="s">
        <v>43</v>
      </c>
      <c r="C26" t="s">
        <v>129</v>
      </c>
      <c r="D26">
        <v>57.6</v>
      </c>
      <c r="E26" s="27">
        <v>5406.143344709898</v>
      </c>
    </row>
    <row r="27" spans="1:5" x14ac:dyDescent="0.25">
      <c r="B27" t="s">
        <v>46</v>
      </c>
      <c r="C27" t="s">
        <v>19</v>
      </c>
      <c r="D27">
        <v>800</v>
      </c>
      <c r="E27" s="27">
        <v>1692.56</v>
      </c>
    </row>
    <row r="28" spans="1:5" x14ac:dyDescent="0.25">
      <c r="B28" t="s">
        <v>28</v>
      </c>
      <c r="C28" t="s">
        <v>19</v>
      </c>
      <c r="D28">
        <v>28800</v>
      </c>
      <c r="E28" s="27">
        <v>34560</v>
      </c>
    </row>
    <row r="29" spans="1:5" x14ac:dyDescent="0.25">
      <c r="B29" t="s">
        <v>41</v>
      </c>
      <c r="C29" t="s">
        <v>19</v>
      </c>
      <c r="D29">
        <v>475</v>
      </c>
      <c r="E29" s="27">
        <v>2137.5</v>
      </c>
    </row>
    <row r="30" spans="1:5" x14ac:dyDescent="0.25">
      <c r="A30" t="s">
        <v>99</v>
      </c>
      <c r="D30">
        <v>63693.56</v>
      </c>
      <c r="E30" s="27">
        <v>104086.50027303754</v>
      </c>
    </row>
    <row r="31" spans="1:5" x14ac:dyDescent="0.25">
      <c r="A31" t="s">
        <v>34</v>
      </c>
      <c r="B31" t="s">
        <v>27</v>
      </c>
      <c r="C31" t="s">
        <v>19</v>
      </c>
      <c r="D31">
        <v>4800</v>
      </c>
      <c r="E31" s="27">
        <v>7680</v>
      </c>
    </row>
    <row r="32" spans="1:5" x14ac:dyDescent="0.25">
      <c r="B32" t="s">
        <v>26</v>
      </c>
      <c r="C32" t="s">
        <v>19</v>
      </c>
      <c r="D32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>
        <v>400</v>
      </c>
      <c r="E33" s="27">
        <v>1120</v>
      </c>
    </row>
    <row r="34" spans="1:8" x14ac:dyDescent="0.25">
      <c r="B34" t="s">
        <v>44</v>
      </c>
      <c r="C34" t="s">
        <v>19</v>
      </c>
      <c r="D34">
        <v>500</v>
      </c>
      <c r="E34" s="27">
        <v>425</v>
      </c>
    </row>
    <row r="35" spans="1:8" x14ac:dyDescent="0.25">
      <c r="B35" t="s">
        <v>39</v>
      </c>
      <c r="C35" t="s">
        <v>129</v>
      </c>
      <c r="D35">
        <v>288.98</v>
      </c>
      <c r="E35" s="27">
        <v>19922.853242320816</v>
      </c>
    </row>
    <row r="36" spans="1:8" x14ac:dyDescent="0.25">
      <c r="B36" t="s">
        <v>43</v>
      </c>
      <c r="C36" t="s">
        <v>129</v>
      </c>
      <c r="D36">
        <v>55.6</v>
      </c>
      <c r="E36" s="27">
        <v>5218.430034129693</v>
      </c>
    </row>
    <row r="37" spans="1:8" x14ac:dyDescent="0.25">
      <c r="B37" t="s">
        <v>28</v>
      </c>
      <c r="C37" t="s">
        <v>19</v>
      </c>
      <c r="D37">
        <v>42000</v>
      </c>
      <c r="E37" s="27">
        <v>50400</v>
      </c>
    </row>
    <row r="38" spans="1:8" x14ac:dyDescent="0.25">
      <c r="B38" t="s">
        <v>41</v>
      </c>
      <c r="C38" t="s">
        <v>19</v>
      </c>
      <c r="D38">
        <v>400</v>
      </c>
      <c r="E38" s="27">
        <v>1800</v>
      </c>
    </row>
    <row r="39" spans="1:8" x14ac:dyDescent="0.25">
      <c r="A39" t="s">
        <v>101</v>
      </c>
      <c r="D39">
        <v>60444.58</v>
      </c>
      <c r="E39" s="27">
        <v>90646.2832764505</v>
      </c>
    </row>
    <row r="40" spans="1:8" x14ac:dyDescent="0.25">
      <c r="A40" t="s">
        <v>42</v>
      </c>
      <c r="B40" t="s">
        <v>27</v>
      </c>
      <c r="C40" t="s">
        <v>19</v>
      </c>
      <c r="D40">
        <v>6000</v>
      </c>
      <c r="E40" s="27">
        <v>9600</v>
      </c>
    </row>
    <row r="41" spans="1:8" x14ac:dyDescent="0.25">
      <c r="B41" t="s">
        <v>26</v>
      </c>
      <c r="C41" t="s">
        <v>19</v>
      </c>
      <c r="D41">
        <v>2400</v>
      </c>
      <c r="E41" s="27">
        <v>816.00000000000011</v>
      </c>
    </row>
    <row r="42" spans="1:8" x14ac:dyDescent="0.25">
      <c r="B42" t="s">
        <v>50</v>
      </c>
      <c r="C42" t="s">
        <v>19</v>
      </c>
      <c r="D42">
        <v>1500</v>
      </c>
      <c r="E42" s="27">
        <v>4200</v>
      </c>
    </row>
    <row r="43" spans="1:8" x14ac:dyDescent="0.25">
      <c r="B43" t="s">
        <v>44</v>
      </c>
      <c r="C43" t="s">
        <v>19</v>
      </c>
      <c r="D43">
        <v>1000</v>
      </c>
      <c r="E43" s="27">
        <v>850</v>
      </c>
    </row>
    <row r="44" spans="1:8" x14ac:dyDescent="0.25">
      <c r="B44" t="s">
        <v>39</v>
      </c>
      <c r="C44" t="s">
        <v>129</v>
      </c>
      <c r="D44">
        <v>212.8</v>
      </c>
      <c r="E44" s="27">
        <v>14670.853242320818</v>
      </c>
    </row>
    <row r="45" spans="1:8" x14ac:dyDescent="0.25">
      <c r="B45" t="s">
        <v>43</v>
      </c>
      <c r="C45" t="s">
        <v>129</v>
      </c>
      <c r="D45">
        <v>14.8</v>
      </c>
      <c r="E45" s="27">
        <v>1389.0784982935156</v>
      </c>
    </row>
    <row r="46" spans="1:8" x14ac:dyDescent="0.25">
      <c r="B46" t="s">
        <v>48</v>
      </c>
      <c r="C46" t="s">
        <v>19</v>
      </c>
      <c r="D46">
        <v>100</v>
      </c>
      <c r="E46" s="27">
        <v>295</v>
      </c>
    </row>
    <row r="47" spans="1:8" x14ac:dyDescent="0.25">
      <c r="B47" t="s">
        <v>46</v>
      </c>
      <c r="C47" t="s">
        <v>19</v>
      </c>
      <c r="D47">
        <v>1000</v>
      </c>
      <c r="E47" s="27">
        <v>2115.6999999999998</v>
      </c>
      <c r="H47" t="s">
        <v>96</v>
      </c>
    </row>
    <row r="48" spans="1:8" x14ac:dyDescent="0.25">
      <c r="B48" t="s">
        <v>28</v>
      </c>
      <c r="C48" t="s">
        <v>19</v>
      </c>
      <c r="D48">
        <v>2400</v>
      </c>
      <c r="E48" s="27">
        <v>2880</v>
      </c>
    </row>
    <row r="49" spans="1:5" x14ac:dyDescent="0.25">
      <c r="B49" t="s">
        <v>41</v>
      </c>
      <c r="C49" t="s">
        <v>19</v>
      </c>
      <c r="D49">
        <v>650</v>
      </c>
      <c r="E49" s="27">
        <v>2925</v>
      </c>
    </row>
    <row r="50" spans="1:5" x14ac:dyDescent="0.25">
      <c r="B50" t="s">
        <v>179</v>
      </c>
      <c r="C50" t="s">
        <v>129</v>
      </c>
      <c r="D50">
        <v>14.8</v>
      </c>
      <c r="E50" s="27">
        <v>1565.8703071672355</v>
      </c>
    </row>
    <row r="51" spans="1:5" x14ac:dyDescent="0.25">
      <c r="A51" t="s">
        <v>102</v>
      </c>
      <c r="D51">
        <v>15292.399999999998</v>
      </c>
      <c r="E51" s="27">
        <v>41307.502047781563</v>
      </c>
    </row>
    <row r="52" spans="1:5" x14ac:dyDescent="0.25">
      <c r="A52" t="s">
        <v>45</v>
      </c>
      <c r="B52" t="s">
        <v>44</v>
      </c>
      <c r="C52" t="s">
        <v>19</v>
      </c>
      <c r="D52">
        <v>1000</v>
      </c>
      <c r="E52" s="27">
        <v>850</v>
      </c>
    </row>
    <row r="53" spans="1:5" x14ac:dyDescent="0.25">
      <c r="A53" t="s">
        <v>189</v>
      </c>
      <c r="D53">
        <v>1000</v>
      </c>
      <c r="E53" s="27">
        <v>850</v>
      </c>
    </row>
    <row r="54" spans="1:5" x14ac:dyDescent="0.25">
      <c r="A54" t="s">
        <v>53</v>
      </c>
      <c r="D54" s="41">
        <v>215457.06</v>
      </c>
      <c r="E54" s="27">
        <v>348689.0541208192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111</v>
      </c>
      <c r="D2" s="38" t="s">
        <v>117</v>
      </c>
      <c r="E2" s="38" t="s">
        <v>112</v>
      </c>
      <c r="F2" s="38" t="s">
        <v>9</v>
      </c>
      <c r="G2" s="38" t="s">
        <v>114</v>
      </c>
      <c r="H2" s="38" t="s">
        <v>115</v>
      </c>
    </row>
    <row r="3" spans="2:8" x14ac:dyDescent="0.25">
      <c r="B3" s="39">
        <v>46037</v>
      </c>
      <c r="C3" s="3" t="s">
        <v>113</v>
      </c>
      <c r="D3" s="3" t="s">
        <v>118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113</v>
      </c>
      <c r="D4" s="3" t="s">
        <v>119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113</v>
      </c>
      <c r="D5" s="3" t="s">
        <v>120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116</v>
      </c>
      <c r="D6" s="3" t="s">
        <v>120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113</v>
      </c>
      <c r="D7" s="3" t="s">
        <v>121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113</v>
      </c>
      <c r="D8" s="3" t="s">
        <v>122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116</v>
      </c>
      <c r="D9" s="3" t="s">
        <v>123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113</v>
      </c>
      <c r="D10" s="3" t="s">
        <v>123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113</v>
      </c>
      <c r="D11" s="3" t="s">
        <v>124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113</v>
      </c>
      <c r="D12" s="3" t="s">
        <v>125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116</v>
      </c>
      <c r="D13" s="3" t="s">
        <v>126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113</v>
      </c>
      <c r="D14" s="3" t="s">
        <v>127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113</v>
      </c>
      <c r="D15" s="3" t="s">
        <v>127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8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92</v>
      </c>
      <c r="B3" t="s">
        <v>57</v>
      </c>
    </row>
    <row r="4" spans="1:2" x14ac:dyDescent="0.25">
      <c r="A4" s="20" t="s">
        <v>31</v>
      </c>
      <c r="B4">
        <v>215457.06</v>
      </c>
    </row>
    <row r="5" spans="1:2" x14ac:dyDescent="0.25">
      <c r="A5" s="21" t="s">
        <v>27</v>
      </c>
      <c r="B5">
        <v>31470</v>
      </c>
    </row>
    <row r="6" spans="1:2" x14ac:dyDescent="0.25">
      <c r="A6" s="21" t="s">
        <v>35</v>
      </c>
      <c r="B6">
        <v>200</v>
      </c>
    </row>
    <row r="7" spans="1:2" x14ac:dyDescent="0.25">
      <c r="A7" s="21" t="s">
        <v>36</v>
      </c>
      <c r="B7">
        <v>3000</v>
      </c>
    </row>
    <row r="8" spans="1:2" x14ac:dyDescent="0.25">
      <c r="A8" s="21" t="s">
        <v>26</v>
      </c>
      <c r="B8">
        <v>45400</v>
      </c>
    </row>
    <row r="9" spans="1:2" x14ac:dyDescent="0.25">
      <c r="A9" s="21" t="s">
        <v>20</v>
      </c>
      <c r="B9">
        <v>6000</v>
      </c>
    </row>
    <row r="10" spans="1:2" x14ac:dyDescent="0.25">
      <c r="A10" s="21" t="s">
        <v>50</v>
      </c>
      <c r="B10">
        <v>2400</v>
      </c>
    </row>
    <row r="11" spans="1:2" x14ac:dyDescent="0.25">
      <c r="A11" s="21" t="s">
        <v>44</v>
      </c>
      <c r="B11">
        <v>9250</v>
      </c>
    </row>
    <row r="12" spans="1:2" x14ac:dyDescent="0.25">
      <c r="A12" s="21" t="s">
        <v>39</v>
      </c>
      <c r="B12">
        <v>1138.1799999999998</v>
      </c>
    </row>
    <row r="13" spans="1:2" x14ac:dyDescent="0.25">
      <c r="A13" s="21" t="s">
        <v>43</v>
      </c>
      <c r="B13">
        <v>185.08</v>
      </c>
    </row>
    <row r="14" spans="1:2" x14ac:dyDescent="0.25">
      <c r="A14" s="21" t="s">
        <v>48</v>
      </c>
      <c r="B14">
        <v>2100</v>
      </c>
    </row>
    <row r="15" spans="1:2" x14ac:dyDescent="0.25">
      <c r="A15" s="21" t="s">
        <v>46</v>
      </c>
      <c r="B15">
        <v>2574</v>
      </c>
    </row>
    <row r="16" spans="1:2" x14ac:dyDescent="0.25">
      <c r="A16" s="21" t="s">
        <v>28</v>
      </c>
      <c r="B16">
        <v>110200</v>
      </c>
    </row>
    <row r="17" spans="1:2" x14ac:dyDescent="0.25">
      <c r="A17" s="21" t="s">
        <v>41</v>
      </c>
      <c r="B17">
        <v>1525</v>
      </c>
    </row>
    <row r="18" spans="1:2" x14ac:dyDescent="0.25">
      <c r="A18" s="21" t="s">
        <v>179</v>
      </c>
      <c r="B18">
        <v>14.8</v>
      </c>
    </row>
    <row r="19" spans="1:2" x14ac:dyDescent="0.25">
      <c r="A19" s="20" t="s">
        <v>24</v>
      </c>
      <c r="B19">
        <v>17805</v>
      </c>
    </row>
    <row r="20" spans="1:2" x14ac:dyDescent="0.25">
      <c r="A20" s="21" t="s">
        <v>26</v>
      </c>
      <c r="B20">
        <v>600</v>
      </c>
    </row>
    <row r="21" spans="1:2" x14ac:dyDescent="0.25">
      <c r="A21" s="21" t="s">
        <v>49</v>
      </c>
      <c r="B21">
        <v>1005</v>
      </c>
    </row>
    <row r="22" spans="1:2" x14ac:dyDescent="0.25">
      <c r="A22" s="21" t="s">
        <v>47</v>
      </c>
      <c r="B22">
        <v>5000</v>
      </c>
    </row>
    <row r="23" spans="1:2" x14ac:dyDescent="0.25">
      <c r="A23" s="21" t="s">
        <v>44</v>
      </c>
      <c r="B23">
        <v>5750</v>
      </c>
    </row>
    <row r="24" spans="1:2" x14ac:dyDescent="0.25">
      <c r="A24" s="21" t="s">
        <v>48</v>
      </c>
      <c r="B24">
        <v>1650</v>
      </c>
    </row>
    <row r="25" spans="1:2" x14ac:dyDescent="0.25">
      <c r="A25" s="21" t="s">
        <v>46</v>
      </c>
      <c r="B25">
        <v>3800</v>
      </c>
    </row>
    <row r="26" spans="1:2" x14ac:dyDescent="0.25">
      <c r="A26" s="20" t="s">
        <v>185</v>
      </c>
      <c r="B26">
        <v>800</v>
      </c>
    </row>
    <row r="27" spans="1:2" x14ac:dyDescent="0.25">
      <c r="A27" s="21" t="s">
        <v>46</v>
      </c>
      <c r="B27">
        <v>800</v>
      </c>
    </row>
    <row r="28" spans="1:2" x14ac:dyDescent="0.25">
      <c r="A28" s="20" t="s">
        <v>53</v>
      </c>
      <c r="B28">
        <v>234062.06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2026-09-09T15:28:19Z</dcterms:modified>
</cp:coreProperties>
</file>